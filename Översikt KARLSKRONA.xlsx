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46237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46237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46237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46237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46237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46237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46237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46237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46237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46237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46237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46237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46237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46237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46237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46237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46237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46237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46237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46237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46237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46237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46237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46237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46237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20881-2026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46142</v>
      </c>
      <c r="E42" s="1" t="n">
        <v>46237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HYPERLINK("https://klasma.github.io/Logging_1080/artfynd/A 20881-2026 artfynd.xlsx", "A 20881-2026")</f>
        <v/>
      </c>
      <c r="X42">
        <f>HYPERLINK("https://klasma.github.io/Logging_1080/kartor/A 20881-2026 karta.png", "A 20881-2026")</f>
        <v/>
      </c>
      <c r="Y42">
        <f>HYPERLINK("https://klasma.github.io/Logging_1080/kartor_geotiff/A 20881-2026 georefererad karta.tif", "A 20881-2026")</f>
        <v/>
      </c>
      <c r="AA42">
        <f>HYPERLINK("https://klasma.github.io/Logging_1080/klagomål/A 20881-2026 FSC-klagomål.docx", "A 20881-2026")</f>
        <v/>
      </c>
      <c r="AB42">
        <f>HYPERLINK("https://klasma.github.io/Logging_1080/klagomålsmail/A 20881-2026 FSC-klagomål mail.docx", "A 20881-2026")</f>
        <v/>
      </c>
      <c r="AC42">
        <f>HYPERLINK("https://klasma.github.io/Logging_1080/tillsyn/A 20881-2026 tillsynsbegäran.docx", "A 20881-2026")</f>
        <v/>
      </c>
      <c r="AD42">
        <f>HYPERLINK("https://klasma.github.io/Logging_1080/tillsynsmail/A 20881-2026 tillsynsbegäran mail.docx", "A 20881-2026")</f>
        <v/>
      </c>
    </row>
    <row r="43" ht="15" customHeight="1">
      <c r="A43" t="inlineStr">
        <is>
          <t>A 13289-2023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45004</v>
      </c>
      <c r="E43" s="1" t="n">
        <v>46237</v>
      </c>
      <c r="F43" t="inlineStr">
        <is>
          <t>BLEKINGE LÄN</t>
        </is>
      </c>
      <c r="G43" t="inlineStr">
        <is>
          <t>KARLSKRONA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Rävticka</t>
        </is>
      </c>
      <c r="W43">
        <f>HYPERLINK("https://klasma.github.io/Logging_1080/artfynd/A 13289-2023 artfynd.xlsx", "A 13289-2023")</f>
        <v/>
      </c>
      <c r="X43">
        <f>HYPERLINK("https://klasma.github.io/Logging_1080/kartor/A 13289-2023 karta.png", "A 13289-2023")</f>
        <v/>
      </c>
      <c r="Y43">
        <f>HYPERLINK("https://klasma.github.io/Logging_1080/kartor_geotiff/A 13289-2023 georefererad karta.tif", "A 13289-2023")</f>
        <v/>
      </c>
      <c r="AA43">
        <f>HYPERLINK("https://klasma.github.io/Logging_1080/klagomål/A 13289-2023 FSC-klagomål.docx", "A 13289-2023")</f>
        <v/>
      </c>
      <c r="AB43">
        <f>HYPERLINK("https://klasma.github.io/Logging_1080/klagomålsmail/A 13289-2023 FSC-klagomål mail.docx", "A 13289-2023")</f>
        <v/>
      </c>
      <c r="AC43">
        <f>HYPERLINK("https://klasma.github.io/Logging_1080/tillsyn/A 13289-2023 tillsynsbegäran.docx", "A 13289-2023")</f>
        <v/>
      </c>
      <c r="AD43">
        <f>HYPERLINK("https://klasma.github.io/Logging_1080/tillsynsmail/A 13289-2023 tillsynsbegäran mail.docx", "A 13289-2023")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46237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46237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46237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24942-2023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46237</v>
      </c>
      <c r="F47" t="inlineStr">
        <is>
          <t>BLEKINGE LÄN</t>
        </is>
      </c>
      <c r="G47" t="inlineStr">
        <is>
          <t>KARLSKRONA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Stortimjan</t>
        </is>
      </c>
      <c r="W47">
        <f>HYPERLINK("https://klasma.github.io/Logging_1080/artfynd/A 24942-2023 artfynd.xlsx", "A 24942-2023")</f>
        <v/>
      </c>
      <c r="X47">
        <f>HYPERLINK("https://klasma.github.io/Logging_1080/kartor/A 24942-2023 karta.png", "A 24942-2023")</f>
        <v/>
      </c>
      <c r="Y47">
        <f>HYPERLINK("https://klasma.github.io/Logging_1080/kartor_geotiff/A 24942-2023 georefererad karta.tif", "A 24942-2023")</f>
        <v/>
      </c>
      <c r="AA47">
        <f>HYPERLINK("https://klasma.github.io/Logging_1080/klagomål/A 24942-2023 FSC-klagomål.docx", "A 24942-2023")</f>
        <v/>
      </c>
      <c r="AB47">
        <f>HYPERLINK("https://klasma.github.io/Logging_1080/klagomålsmail/A 24942-2023 FSC-klagomål mail.docx", "A 24942-2023")</f>
        <v/>
      </c>
      <c r="AC47">
        <f>HYPERLINK("https://klasma.github.io/Logging_1080/tillsyn/A 24942-2023 tillsynsbegäran.docx", "A 24942-2023")</f>
        <v/>
      </c>
      <c r="AD47">
        <f>HYPERLINK("https://klasma.github.io/Logging_1080/tillsynsmail/A 24942-2023 tillsynsbegäran mail.docx", "A 24942-2023")</f>
        <v/>
      </c>
    </row>
    <row r="48" ht="15" customHeight="1">
      <c r="A48" t="inlineStr">
        <is>
          <t>A 13533-2024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46237</v>
      </c>
      <c r="F48" t="inlineStr">
        <is>
          <t>BLEKINGE LÄN</t>
        </is>
      </c>
      <c r="G48" t="inlineStr">
        <is>
          <t>KARLSKRONA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0</v>
      </c>
      <c r="V48" s="2" t="inlineStr">
        <is>
          <t>Polabiskt björnbär</t>
        </is>
      </c>
      <c r="W48">
        <f>HYPERLINK("https://klasma.github.io/Logging_1080/artfynd/A 13533-2024 artfynd.xlsx", "A 13533-2024")</f>
        <v/>
      </c>
      <c r="X48">
        <f>HYPERLINK("https://klasma.github.io/Logging_1080/kartor/A 13533-2024 karta.png", "A 13533-2024")</f>
        <v/>
      </c>
      <c r="Y48">
        <f>HYPERLINK("https://klasma.github.io/Logging_1080/kartor_geotiff/A 13533-2024 georefererad karta.tif", "A 13533-2024")</f>
        <v/>
      </c>
      <c r="AA48">
        <f>HYPERLINK("https://klasma.github.io/Logging_1080/klagomål/A 13533-2024 FSC-klagomål.docx", "A 13533-2024")</f>
        <v/>
      </c>
      <c r="AB48">
        <f>HYPERLINK("https://klasma.github.io/Logging_1080/klagomålsmail/A 13533-2024 FSC-klagomål mail.docx", "A 13533-2024")</f>
        <v/>
      </c>
      <c r="AC48">
        <f>HYPERLINK("https://klasma.github.io/Logging_1080/tillsyn/A 13533-2024 tillsynsbegäran.docx", "A 13533-2024")</f>
        <v/>
      </c>
      <c r="AD48">
        <f>HYPERLINK("https://klasma.github.io/Logging_1080/tillsynsmail/A 13533-2024 tillsynsbegäran mail.docx", "A 13533-2024")</f>
        <v/>
      </c>
    </row>
    <row r="49" ht="15" customHeight="1">
      <c r="A49" t="inlineStr">
        <is>
          <t>A 6221-2024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46237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Ekoxe</t>
        </is>
      </c>
      <c r="W49">
        <f>HYPERLINK("https://klasma.github.io/Logging_1080/artfynd/A 6221-2024 artfynd.xlsx", "A 6221-2024")</f>
        <v/>
      </c>
      <c r="X49">
        <f>HYPERLINK("https://klasma.github.io/Logging_1080/kartor/A 6221-2024 karta.png", "A 6221-2024")</f>
        <v/>
      </c>
      <c r="Y49">
        <f>HYPERLINK("https://klasma.github.io/Logging_1080/kartor_geotiff/A 6221-2024 georefererad karta.tif", "A 6221-2024")</f>
        <v/>
      </c>
      <c r="AA49">
        <f>HYPERLINK("https://klasma.github.io/Logging_1080/klagomål/A 6221-2024 FSC-klagomål.docx", "A 6221-2024")</f>
        <v/>
      </c>
      <c r="AB49">
        <f>HYPERLINK("https://klasma.github.io/Logging_1080/klagomålsmail/A 6221-2024 FSC-klagomål mail.docx", "A 6221-2024")</f>
        <v/>
      </c>
      <c r="AC49">
        <f>HYPERLINK("https://klasma.github.io/Logging_1080/tillsyn/A 6221-2024 tillsynsbegäran.docx", "A 6221-2024")</f>
        <v/>
      </c>
      <c r="AD49">
        <f>HYPERLINK("https://klasma.github.io/Logging_1080/tillsynsmail/A 6221-2024 tillsynsbegäran mail.docx", "A 6221-2024")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46237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46237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46237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46237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Backsippa</t>
        </is>
      </c>
      <c r="W53">
        <f>HYPERLINK("https://klasma.github.io/Logging_1080/artfynd/A 19602-2023 artfynd.xlsx", "A 19602-2023")</f>
        <v/>
      </c>
      <c r="X53">
        <f>HYPERLINK("https://klasma.github.io/Logging_1080/kartor/A 19602-2023 karta.png", "A 19602-2023")</f>
        <v/>
      </c>
      <c r="Y53">
        <f>HYPERLINK("https://klasma.github.io/Logging_1080/kartor_geotiff/A 19602-2023 georefererad karta.tif", "A 19602-2023")</f>
        <v/>
      </c>
      <c r="AA53">
        <f>HYPERLINK("https://klasma.github.io/Logging_1080/klagomål/A 19602-2023 FSC-klagomål.docx", "A 19602-2023")</f>
        <v/>
      </c>
      <c r="AB53">
        <f>HYPERLINK("https://klasma.github.io/Logging_1080/klagomålsmail/A 19602-2023 FSC-klagomål mail.docx", "A 19602-2023")</f>
        <v/>
      </c>
      <c r="AC53">
        <f>HYPERLINK("https://klasma.github.io/Logging_1080/tillsyn/A 19602-2023 tillsynsbegäran.docx", "A 19602-2023")</f>
        <v/>
      </c>
      <c r="AD53">
        <f>HYPERLINK("https://klasma.github.io/Logging_1080/tillsynsmail/A 19602-2023 tillsynsbegäran mail.docx", "A 19602-2023")</f>
        <v/>
      </c>
    </row>
    <row r="54" ht="15" customHeight="1">
      <c r="A54" t="inlineStr">
        <is>
          <t>A 16465-2026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46112</v>
      </c>
      <c r="E54" s="1" t="n">
        <v>46237</v>
      </c>
      <c r="F54" t="inlineStr">
        <is>
          <t>BLEKINGE LÄN</t>
        </is>
      </c>
      <c r="G54" t="inlineStr">
        <is>
          <t>KARLSKRONA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HYPERLINK("https://klasma.github.io/Logging_1080/artfynd/A 16465-2026 artfynd.xlsx", "A 16465-2026")</f>
        <v/>
      </c>
      <c r="X54">
        <f>HYPERLINK("https://klasma.github.io/Logging_1080/kartor/A 16465-2026 karta.png", "A 16465-2026")</f>
        <v/>
      </c>
      <c r="Y54">
        <f>HYPERLINK("https://klasma.github.io/Logging_1080/kartor_geotiff/A 16465-2026 georefererad karta.tif", "A 16465-2026")</f>
        <v/>
      </c>
      <c r="AA54">
        <f>HYPERLINK("https://klasma.github.io/Logging_1080/klagomål/A 16465-2026 FSC-klagomål.docx", "A 16465-2026")</f>
        <v/>
      </c>
      <c r="AB54">
        <f>HYPERLINK("https://klasma.github.io/Logging_1080/klagomålsmail/A 16465-2026 FSC-klagomål mail.docx", "A 16465-2026")</f>
        <v/>
      </c>
      <c r="AC54">
        <f>HYPERLINK("https://klasma.github.io/Logging_1080/tillsyn/A 16465-2026 tillsynsbegäran.docx", "A 16465-2026")</f>
        <v/>
      </c>
      <c r="AD54">
        <f>HYPERLINK("https://klasma.github.io/Logging_1080/tillsynsmail/A 16465-2026 tillsynsbegäran mail.docx", "A 16465-2026")</f>
        <v/>
      </c>
    </row>
    <row r="55" ht="15" customHeight="1">
      <c r="A55" t="inlineStr">
        <is>
          <t>A 56476-2024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46237</v>
      </c>
      <c r="F55" t="inlineStr">
        <is>
          <t>BLEKINGE LÄN</t>
        </is>
      </c>
      <c r="G55" t="inlineStr">
        <is>
          <t>KARLSKRONA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HYPERLINK("https://klasma.github.io/Logging_1080/artfynd/A 56476-2024 artfynd.xlsx", "A 56476-2024")</f>
        <v/>
      </c>
      <c r="X55">
        <f>HYPERLINK("https://klasma.github.io/Logging_1080/kartor/A 56476-2024 karta.png", "A 56476-2024")</f>
        <v/>
      </c>
      <c r="Y55">
        <f>HYPERLINK("https://klasma.github.io/Logging_1080/kartor_geotiff/A 56476-2024 georefererad karta.tif", "A 56476-2024")</f>
        <v/>
      </c>
      <c r="AA55">
        <f>HYPERLINK("https://klasma.github.io/Logging_1080/klagomål/A 56476-2024 FSC-klagomål.docx", "A 56476-2024")</f>
        <v/>
      </c>
      <c r="AB55">
        <f>HYPERLINK("https://klasma.github.io/Logging_1080/klagomålsmail/A 56476-2024 FSC-klagomål mail.docx", "A 56476-2024")</f>
        <v/>
      </c>
      <c r="AC55">
        <f>HYPERLINK("https://klasma.github.io/Logging_1080/tillsyn/A 56476-2024 tillsynsbegäran.docx", "A 56476-2024")</f>
        <v/>
      </c>
      <c r="AD55">
        <f>HYPERLINK("https://klasma.github.io/Logging_1080/tillsynsmail/A 56476-2024 tillsynsbegäran mail.docx", "A 56476-2024")</f>
        <v/>
      </c>
    </row>
    <row r="56" ht="15" customHeight="1">
      <c r="A56" t="inlineStr">
        <is>
          <t>A 51085-2024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46237</v>
      </c>
      <c r="F56" t="inlineStr">
        <is>
          <t>BLEKINGE LÄN</t>
        </is>
      </c>
      <c r="G56" t="inlineStr">
        <is>
          <t>KARLSKRONA</t>
        </is>
      </c>
      <c r="I56" t="n">
        <v>5.4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Långbensgroda</t>
        </is>
      </c>
      <c r="W56">
        <f>HYPERLINK("https://klasma.github.io/Logging_1080/artfynd/A 51085-2024 artfynd.xlsx", "A 51085-2024")</f>
        <v/>
      </c>
      <c r="X56">
        <f>HYPERLINK("https://klasma.github.io/Logging_1080/kartor/A 51085-2024 karta.png", "A 51085-2024")</f>
        <v/>
      </c>
      <c r="Y56">
        <f>HYPERLINK("https://klasma.github.io/Logging_1080/kartor_geotiff/A 51085-2024 georefererad karta.tif", "A 51085-2024")</f>
        <v/>
      </c>
      <c r="AA56">
        <f>HYPERLINK("https://klasma.github.io/Logging_1080/klagomål/A 51085-2024 FSC-klagomål.docx", "A 51085-2024")</f>
        <v/>
      </c>
      <c r="AB56">
        <f>HYPERLINK("https://klasma.github.io/Logging_1080/klagomålsmail/A 51085-2024 FSC-klagomål mail.docx", "A 51085-2024")</f>
        <v/>
      </c>
      <c r="AC56">
        <f>HYPERLINK("https://klasma.github.io/Logging_1080/tillsyn/A 51085-2024 tillsynsbegäran.docx", "A 51085-2024")</f>
        <v/>
      </c>
      <c r="AD56">
        <f>HYPERLINK("https://klasma.github.io/Logging_1080/tillsynsmail/A 51085-2024 tillsynsbegäran mail.docx", "A 51085-2024")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46237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46237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27763-2024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45475</v>
      </c>
      <c r="E59" s="1" t="n">
        <v>46237</v>
      </c>
      <c r="F59" t="inlineStr">
        <is>
          <t>BLEKINGE LÄN</t>
        </is>
      </c>
      <c r="G59" t="inlineStr">
        <is>
          <t>KARLSKRONA</t>
        </is>
      </c>
      <c r="I59" t="n">
        <v>7.6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Långbensgroda</t>
        </is>
      </c>
      <c r="W59">
        <f>HYPERLINK("https://klasma.github.io/Logging_1080/artfynd/A 27763-2024 artfynd.xlsx", "A 27763-2024")</f>
        <v/>
      </c>
      <c r="X59">
        <f>HYPERLINK("https://klasma.github.io/Logging_1080/kartor/A 27763-2024 karta.png", "A 27763-2024")</f>
        <v/>
      </c>
      <c r="Y59">
        <f>HYPERLINK("https://klasma.github.io/Logging_1080/kartor_geotiff/A 27763-2024 georefererad karta.tif", "A 27763-2024")</f>
        <v/>
      </c>
      <c r="AA59">
        <f>HYPERLINK("https://klasma.github.io/Logging_1080/klagomål/A 27763-2024 FSC-klagomål.docx", "A 27763-2024")</f>
        <v/>
      </c>
      <c r="AB59">
        <f>HYPERLINK("https://klasma.github.io/Logging_1080/klagomålsmail/A 27763-2024 FSC-klagomål mail.docx", "A 27763-2024")</f>
        <v/>
      </c>
      <c r="AC59">
        <f>HYPERLINK("https://klasma.github.io/Logging_1080/tillsyn/A 27763-2024 tillsynsbegäran.docx", "A 27763-2024")</f>
        <v/>
      </c>
      <c r="AD59">
        <f>HYPERLINK("https://klasma.github.io/Logging_1080/tillsynsmail/A 27763-2024 tillsynsbegäran mail.docx", "A 27763-2024")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46237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1356-2024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46237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Ekoxe</t>
        </is>
      </c>
      <c r="W61">
        <f>HYPERLINK("https://klasma.github.io/Logging_1080/artfynd/A 1356-2024 artfynd.xlsx", "A 1356-2024")</f>
        <v/>
      </c>
      <c r="X61">
        <f>HYPERLINK("https://klasma.github.io/Logging_1080/kartor/A 1356-2024 karta.png", "A 1356-2024")</f>
        <v/>
      </c>
      <c r="Y61">
        <f>HYPERLINK("https://klasma.github.io/Logging_1080/kartor_geotiff/A 1356-2024 georefererad karta.tif", "A 1356-2024")</f>
        <v/>
      </c>
      <c r="AA61">
        <f>HYPERLINK("https://klasma.github.io/Logging_1080/klagomål/A 1356-2024 FSC-klagomål.docx", "A 1356-2024")</f>
        <v/>
      </c>
      <c r="AB61">
        <f>HYPERLINK("https://klasma.github.io/Logging_1080/klagomålsmail/A 1356-2024 FSC-klagomål mail.docx", "A 1356-2024")</f>
        <v/>
      </c>
      <c r="AC61">
        <f>HYPERLINK("https://klasma.github.io/Logging_1080/tillsyn/A 1356-2024 tillsynsbegäran.docx", "A 1356-2024")</f>
        <v/>
      </c>
      <c r="AD61">
        <f>HYPERLINK("https://klasma.github.io/Logging_1080/tillsynsmail/A 1356-2024 tillsynsbegäran mail.docx", "A 1356-2024")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46237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46237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13201-2023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46237</v>
      </c>
      <c r="F64" t="inlineStr">
        <is>
          <t>BLEKINGE LÄN</t>
        </is>
      </c>
      <c r="G64" t="inlineStr">
        <is>
          <t>KARLSKRONA</t>
        </is>
      </c>
      <c r="I64" t="n">
        <v>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Stortimjan</t>
        </is>
      </c>
      <c r="W64">
        <f>HYPERLINK("https://klasma.github.io/Logging_1080/artfynd/A 13201-2023 artfynd.xlsx", "A 13201-2023")</f>
        <v/>
      </c>
      <c r="X64">
        <f>HYPERLINK("https://klasma.github.io/Logging_1080/kartor/A 13201-2023 karta.png", "A 13201-2023")</f>
        <v/>
      </c>
      <c r="Y64">
        <f>HYPERLINK("https://klasma.github.io/Logging_1080/kartor_geotiff/A 13201-2023 georefererad karta.tif", "A 13201-2023")</f>
        <v/>
      </c>
      <c r="AA64">
        <f>HYPERLINK("https://klasma.github.io/Logging_1080/klagomål/A 13201-2023 FSC-klagomål.docx", "A 13201-2023")</f>
        <v/>
      </c>
      <c r="AB64">
        <f>HYPERLINK("https://klasma.github.io/Logging_1080/klagomålsmail/A 13201-2023 FSC-klagomål mail.docx", "A 13201-2023")</f>
        <v/>
      </c>
      <c r="AC64">
        <f>HYPERLINK("https://klasma.github.io/Logging_1080/tillsyn/A 13201-2023 tillsynsbegäran.docx", "A 13201-2023")</f>
        <v/>
      </c>
      <c r="AD64">
        <f>HYPERLINK("https://klasma.github.io/Logging_1080/tillsynsmail/A 13201-2023 tillsynsbegäran mail.docx", "A 13201-2023")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46237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34609-2025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46237</v>
      </c>
      <c r="F66" t="inlineStr">
        <is>
          <t>BLEKINGE LÄN</t>
        </is>
      </c>
      <c r="G66" t="inlineStr">
        <is>
          <t>KARLSKRONA</t>
        </is>
      </c>
      <c r="I66" t="n">
        <v>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Backsippa</t>
        </is>
      </c>
      <c r="W66">
        <f>HYPERLINK("https://klasma.github.io/Logging_1080/artfynd/A 34609-2025 artfynd.xlsx", "A 34609-2025")</f>
        <v/>
      </c>
      <c r="X66">
        <f>HYPERLINK("https://klasma.github.io/Logging_1080/kartor/A 34609-2025 karta.png", "A 34609-2025")</f>
        <v/>
      </c>
      <c r="Y66">
        <f>HYPERLINK("https://klasma.github.io/Logging_1080/kartor_geotiff/A 34609-2025 georefererad karta.tif", "A 34609-2025")</f>
        <v/>
      </c>
      <c r="AA66">
        <f>HYPERLINK("https://klasma.github.io/Logging_1080/klagomål/A 34609-2025 FSC-klagomål.docx", "A 34609-2025")</f>
        <v/>
      </c>
      <c r="AB66">
        <f>HYPERLINK("https://klasma.github.io/Logging_1080/klagomålsmail/A 34609-2025 FSC-klagomål mail.docx", "A 34609-2025")</f>
        <v/>
      </c>
      <c r="AC66">
        <f>HYPERLINK("https://klasma.github.io/Logging_1080/tillsyn/A 34609-2025 tillsynsbegäran.docx", "A 34609-2025")</f>
        <v/>
      </c>
      <c r="AD66">
        <f>HYPERLINK("https://klasma.github.io/Logging_1080/tillsynsmail/A 34609-2025 tillsynsbegäran mail.docx", "A 34609-2025")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46237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46237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46237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46237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46237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46237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46237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46237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46237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46237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46237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46237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46237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46237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46237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46237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46237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46237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46237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46237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46237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46237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44421</v>
      </c>
      <c r="E90" s="1" t="n">
        <v>46237</v>
      </c>
      <c r="F90" t="inlineStr">
        <is>
          <t>BLEKINGE LÄN</t>
        </is>
      </c>
      <c r="G90" t="inlineStr">
        <is>
          <t>KARLSKRONA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46237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46237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46237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46237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46237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46237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46237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46237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46237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46237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46237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46237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46237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46237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46237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46237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46237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46237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46237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46237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46237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46237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46237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46237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46237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46237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46237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46237</v>
      </c>
      <c r="F118" t="inlineStr">
        <is>
          <t>BLEKINGE LÄN</t>
        </is>
      </c>
      <c r="G118" t="inlineStr">
        <is>
          <t>KARLSKRONA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46237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46237</v>
      </c>
      <c r="F120" t="inlineStr">
        <is>
          <t>BLEKINGE LÄN</t>
        </is>
      </c>
      <c r="G120" t="inlineStr">
        <is>
          <t>KARLSKRONA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44599</v>
      </c>
      <c r="E121" s="1" t="n">
        <v>46237</v>
      </c>
      <c r="F121" t="inlineStr">
        <is>
          <t>BLEKINGE LÄN</t>
        </is>
      </c>
      <c r="G121" t="inlineStr">
        <is>
          <t>KARLSKRONA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46237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46237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44452</v>
      </c>
      <c r="E124" s="1" t="n">
        <v>46237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46237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46237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46237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46237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46237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46237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46237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46237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46237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46237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46237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46237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46237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46237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44809</v>
      </c>
      <c r="E139" s="1" t="n">
        <v>46237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46237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46237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46237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46237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46237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46237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46237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44440</v>
      </c>
      <c r="E147" s="1" t="n">
        <v>46237</v>
      </c>
      <c r="F147" t="inlineStr">
        <is>
          <t>BLEKINGE LÄN</t>
        </is>
      </c>
      <c r="G147" t="inlineStr">
        <is>
          <t>KARLSKRONA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44425</v>
      </c>
      <c r="E148" s="1" t="n">
        <v>46237</v>
      </c>
      <c r="F148" t="inlineStr">
        <is>
          <t>BLEKINGE LÄN</t>
        </is>
      </c>
      <c r="G148" t="inlineStr">
        <is>
          <t>KARLSKRONA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46237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46237</v>
      </c>
      <c r="F150" t="inlineStr">
        <is>
          <t>BLEKINGE LÄN</t>
        </is>
      </c>
      <c r="G150" t="inlineStr">
        <is>
          <t>KARLSKRONA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46237</v>
      </c>
      <c r="F151" t="inlineStr">
        <is>
          <t>BLEKINGE LÄN</t>
        </is>
      </c>
      <c r="G151" t="inlineStr">
        <is>
          <t>KARLSKRONA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46237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46237</v>
      </c>
      <c r="F153" t="inlineStr">
        <is>
          <t>BLEKINGE LÄN</t>
        </is>
      </c>
      <c r="G153" t="inlineStr">
        <is>
          <t>KARLSKRONA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46237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45127</v>
      </c>
      <c r="E155" s="1" t="n">
        <v>46237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21880-2024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45443</v>
      </c>
      <c r="E156" s="1" t="n">
        <v>46237</v>
      </c>
      <c r="F156" t="inlineStr">
        <is>
          <t>BLEKINGE LÄN</t>
        </is>
      </c>
      <c r="G156" t="inlineStr">
        <is>
          <t>KARLSKRONA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44467</v>
      </c>
      <c r="E157" s="1" t="n">
        <v>46237</v>
      </c>
      <c r="F157" t="inlineStr">
        <is>
          <t>BLEKINGE LÄN</t>
        </is>
      </c>
      <c r="G157" t="inlineStr">
        <is>
          <t>KARLSKRONA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46237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46237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46237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46237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46237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18656-2022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46237</v>
      </c>
      <c r="F163" t="inlineStr">
        <is>
          <t>BLEKINGE LÄN</t>
        </is>
      </c>
      <c r="G163" t="inlineStr">
        <is>
          <t>KARLSKRONA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46237</v>
      </c>
      <c r="F164" t="inlineStr">
        <is>
          <t>BLEKINGE LÄN</t>
        </is>
      </c>
      <c r="G164" t="inlineStr">
        <is>
          <t>KARLSKRONA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46237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52697-2021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44466</v>
      </c>
      <c r="E166" s="1" t="n">
        <v>46237</v>
      </c>
      <c r="F166" t="inlineStr">
        <is>
          <t>BLEKINGE LÄN</t>
        </is>
      </c>
      <c r="G166" t="inlineStr">
        <is>
          <t>KARLSKRONA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46237</v>
      </c>
      <c r="F167" t="inlineStr">
        <is>
          <t>BLEKINGE LÄN</t>
        </is>
      </c>
      <c r="G167" t="inlineStr">
        <is>
          <t>KARLSKRONA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46237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46237</v>
      </c>
      <c r="F169" t="inlineStr">
        <is>
          <t>BLEKINGE LÄN</t>
        </is>
      </c>
      <c r="G169" t="inlineStr">
        <is>
          <t>KARLSKRONA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46237</v>
      </c>
      <c r="F170" t="inlineStr">
        <is>
          <t>BLEKINGE LÄN</t>
        </is>
      </c>
      <c r="G170" t="inlineStr">
        <is>
          <t>KARLSKRONA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46237</v>
      </c>
      <c r="F171" t="inlineStr">
        <is>
          <t>BLEKINGE LÄN</t>
        </is>
      </c>
      <c r="G171" t="inlineStr">
        <is>
          <t>KARLSKRONA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46237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44619</v>
      </c>
      <c r="E173" s="1" t="n">
        <v>46237</v>
      </c>
      <c r="F173" t="inlineStr">
        <is>
          <t>BLEKINGE LÄN</t>
        </is>
      </c>
      <c r="G173" t="inlineStr">
        <is>
          <t>KARLSKRONA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44657</v>
      </c>
      <c r="E174" s="1" t="n">
        <v>46237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46237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46237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44473</v>
      </c>
      <c r="E177" s="1" t="n">
        <v>46237</v>
      </c>
      <c r="F177" t="inlineStr">
        <is>
          <t>BLEKINGE LÄN</t>
        </is>
      </c>
      <c r="G177" t="inlineStr">
        <is>
          <t>KARLSKRONA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46237</v>
      </c>
      <c r="F178" t="inlineStr">
        <is>
          <t>BLEKINGE LÄN</t>
        </is>
      </c>
      <c r="G178" t="inlineStr">
        <is>
          <t>KARLSKRONA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44939</v>
      </c>
      <c r="E179" s="1" t="n">
        <v>46237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46237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46237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46237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46237</v>
      </c>
      <c r="F183" t="inlineStr">
        <is>
          <t>BLEKINGE LÄN</t>
        </is>
      </c>
      <c r="G183" t="inlineStr">
        <is>
          <t>KARLSKRONA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46237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46237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46237</v>
      </c>
      <c r="F186" t="inlineStr">
        <is>
          <t>BLEKINGE LÄN</t>
        </is>
      </c>
      <c r="G186" t="inlineStr">
        <is>
          <t>KARLSKRONA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46237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46237</v>
      </c>
      <c r="F188" t="inlineStr">
        <is>
          <t>BLEKINGE LÄN</t>
        </is>
      </c>
      <c r="G188" t="inlineStr">
        <is>
          <t>KARLSKRONA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46237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46237</v>
      </c>
      <c r="F190" t="inlineStr">
        <is>
          <t>BLEKINGE LÄN</t>
        </is>
      </c>
      <c r="G190" t="inlineStr">
        <is>
          <t>KARLSKRONA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46237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46237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45334</v>
      </c>
      <c r="E193" s="1" t="n">
        <v>46237</v>
      </c>
      <c r="F193" t="inlineStr">
        <is>
          <t>BLEKINGE LÄN</t>
        </is>
      </c>
      <c r="G193" t="inlineStr">
        <is>
          <t>KARLSKRONA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46237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46237</v>
      </c>
      <c r="F195" t="inlineStr">
        <is>
          <t>BLEKINGE LÄN</t>
        </is>
      </c>
      <c r="G195" t="inlineStr">
        <is>
          <t>KARLSKRONA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45042</v>
      </c>
      <c r="E196" s="1" t="n">
        <v>46237</v>
      </c>
      <c r="F196" t="inlineStr">
        <is>
          <t>BLEKINGE LÄN</t>
        </is>
      </c>
      <c r="G196" t="inlineStr">
        <is>
          <t>KARLSKRONA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46237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46237</v>
      </c>
      <c r="F198" t="inlineStr">
        <is>
          <t>BLEKINGE LÄN</t>
        </is>
      </c>
      <c r="G198" t="inlineStr">
        <is>
          <t>KARLSKRONA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45499</v>
      </c>
      <c r="E199" s="1" t="n">
        <v>46237</v>
      </c>
      <c r="F199" t="inlineStr">
        <is>
          <t>BLEKINGE LÄN</t>
        </is>
      </c>
      <c r="G199" t="inlineStr">
        <is>
          <t>KARLSKRONA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46237</v>
      </c>
      <c r="F200" t="inlineStr">
        <is>
          <t>BLEKINGE LÄN</t>
        </is>
      </c>
      <c r="G200" t="inlineStr">
        <is>
          <t>KARLSKRONA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46237</v>
      </c>
      <c r="F201" t="inlineStr">
        <is>
          <t>BLEKINGE LÄN</t>
        </is>
      </c>
      <c r="G201" t="inlineStr">
        <is>
          <t>KARLSKRONA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46237</v>
      </c>
      <c r="F202" t="inlineStr">
        <is>
          <t>BLEKINGE LÄN</t>
        </is>
      </c>
      <c r="G202" t="inlineStr">
        <is>
          <t>KARLSKRONA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46237</v>
      </c>
      <c r="F203" t="inlineStr">
        <is>
          <t>BLEKINGE LÄN</t>
        </is>
      </c>
      <c r="G203" t="inlineStr">
        <is>
          <t>KARLSKRONA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46237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46237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46237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46237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45524</v>
      </c>
      <c r="E208" s="1" t="n">
        <v>46237</v>
      </c>
      <c r="F208" t="inlineStr">
        <is>
          <t>BLEKINGE LÄN</t>
        </is>
      </c>
      <c r="G208" t="inlineStr">
        <is>
          <t>KARLSKRONA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46237</v>
      </c>
      <c r="F209" t="inlineStr">
        <is>
          <t>BLEKINGE LÄN</t>
        </is>
      </c>
      <c r="G209" t="inlineStr">
        <is>
          <t>KARLSKRONA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46237</v>
      </c>
      <c r="F210" t="inlineStr">
        <is>
          <t>BLEKINGE LÄN</t>
        </is>
      </c>
      <c r="G210" t="inlineStr">
        <is>
          <t>KARLSKRONA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46237</v>
      </c>
      <c r="F211" t="inlineStr">
        <is>
          <t>BLEKINGE LÄN</t>
        </is>
      </c>
      <c r="G211" t="inlineStr">
        <is>
          <t>KARLSKRONA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46237</v>
      </c>
      <c r="F212" t="inlineStr">
        <is>
          <t>BLEKINGE LÄN</t>
        </is>
      </c>
      <c r="G212" t="inlineStr">
        <is>
          <t>KARLSKRONA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45647</v>
      </c>
      <c r="E213" s="1" t="n">
        <v>46237</v>
      </c>
      <c r="F213" t="inlineStr">
        <is>
          <t>BLEKINGE LÄN</t>
        </is>
      </c>
      <c r="G213" t="inlineStr">
        <is>
          <t>KARLSKRONA</t>
        </is>
      </c>
      <c r="I213" t="n">
        <v>20.2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46237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46237</v>
      </c>
      <c r="F215" t="inlineStr">
        <is>
          <t>BLEKINGE LÄN</t>
        </is>
      </c>
      <c r="G215" t="inlineStr">
        <is>
          <t>KARLSKRONA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46237</v>
      </c>
      <c r="F216" t="inlineStr">
        <is>
          <t>BLEKINGE LÄN</t>
        </is>
      </c>
      <c r="G216" t="inlineStr">
        <is>
          <t>KARLSKRONA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46237</v>
      </c>
      <c r="F217" t="inlineStr">
        <is>
          <t>BLEKINGE LÄN</t>
        </is>
      </c>
      <c r="G217" t="inlineStr">
        <is>
          <t>KARLSKRONA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38619-2023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45162</v>
      </c>
      <c r="E218" s="1" t="n">
        <v>46237</v>
      </c>
      <c r="F218" t="inlineStr">
        <is>
          <t>BLEKINGE LÄN</t>
        </is>
      </c>
      <c r="G218" t="inlineStr">
        <is>
          <t>KARLSKRONA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46237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44584</v>
      </c>
      <c r="E220" s="1" t="n">
        <v>46237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46237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46237</v>
      </c>
      <c r="F222" t="inlineStr">
        <is>
          <t>BLEKINGE LÄN</t>
        </is>
      </c>
      <c r="G222" t="inlineStr">
        <is>
          <t>KARLSKRONA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46237</v>
      </c>
      <c r="F223" t="inlineStr">
        <is>
          <t>BLEKINGE LÄN</t>
        </is>
      </c>
      <c r="G223" t="inlineStr">
        <is>
          <t>KARLSKRONA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46237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46237</v>
      </c>
      <c r="F225" t="inlineStr">
        <is>
          <t>BLEKINGE LÄN</t>
        </is>
      </c>
      <c r="G225" t="inlineStr">
        <is>
          <t>KARLSKRONA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45077</v>
      </c>
      <c r="E226" s="1" t="n">
        <v>46237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44614</v>
      </c>
      <c r="E227" s="1" t="n">
        <v>46237</v>
      </c>
      <c r="F227" t="inlineStr">
        <is>
          <t>BLEKINGE LÄN</t>
        </is>
      </c>
      <c r="G227" t="inlineStr">
        <is>
          <t>KARLSKRONA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46237</v>
      </c>
      <c r="F228" t="inlineStr">
        <is>
          <t>BLEKINGE LÄN</t>
        </is>
      </c>
      <c r="G228" t="inlineStr">
        <is>
          <t>KARLSKRONA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46237</v>
      </c>
      <c r="F229" t="inlineStr">
        <is>
          <t>BLEKINGE LÄN</t>
        </is>
      </c>
      <c r="G229" t="inlineStr">
        <is>
          <t>KARLSKRONA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46237</v>
      </c>
      <c r="F230" t="inlineStr">
        <is>
          <t>BLEKINGE LÄN</t>
        </is>
      </c>
      <c r="G230" t="inlineStr">
        <is>
          <t>KARLSKRONA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46237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44860</v>
      </c>
      <c r="E232" s="1" t="n">
        <v>46237</v>
      </c>
      <c r="F232" t="inlineStr">
        <is>
          <t>BLEKINGE LÄN</t>
        </is>
      </c>
      <c r="G232" t="inlineStr">
        <is>
          <t>KARLSKRONA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44691</v>
      </c>
      <c r="E233" s="1" t="n">
        <v>46237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46237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46237</v>
      </c>
      <c r="F235" t="inlineStr">
        <is>
          <t>BLEKINGE LÄN</t>
        </is>
      </c>
      <c r="G235" t="inlineStr">
        <is>
          <t>KARLSKRONA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46237</v>
      </c>
      <c r="F236" t="inlineStr">
        <is>
          <t>BLEKINGE LÄN</t>
        </is>
      </c>
      <c r="G236" t="inlineStr">
        <is>
          <t>KARLSKRONA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46237</v>
      </c>
      <c r="F237" t="inlineStr">
        <is>
          <t>BLEKINGE LÄN</t>
        </is>
      </c>
      <c r="G237" t="inlineStr">
        <is>
          <t>KARLSKRONA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60071-2022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44909</v>
      </c>
      <c r="E238" s="1" t="n">
        <v>46237</v>
      </c>
      <c r="F238" t="inlineStr">
        <is>
          <t>BLEKINGE LÄN</t>
        </is>
      </c>
      <c r="G238" t="inlineStr">
        <is>
          <t>KARLSKRONA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46237</v>
      </c>
      <c r="F239" t="inlineStr">
        <is>
          <t>BLEKINGE LÄN</t>
        </is>
      </c>
      <c r="G239" t="inlineStr">
        <is>
          <t>KARLSKRONA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46237</v>
      </c>
      <c r="F240" t="inlineStr">
        <is>
          <t>BLEKINGE LÄN</t>
        </is>
      </c>
      <c r="G240" t="inlineStr">
        <is>
          <t>KARLSKRONA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46237</v>
      </c>
      <c r="F241" t="inlineStr">
        <is>
          <t>BLEKINGE LÄN</t>
        </is>
      </c>
      <c r="G241" t="inlineStr">
        <is>
          <t>KARLSKRONA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46237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46237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46237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46237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46237</v>
      </c>
      <c r="F246" t="inlineStr">
        <is>
          <t>BLEKINGE LÄN</t>
        </is>
      </c>
      <c r="G246" t="inlineStr">
        <is>
          <t>KARLSKRONA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45455</v>
      </c>
      <c r="E247" s="1" t="n">
        <v>46237</v>
      </c>
      <c r="F247" t="inlineStr">
        <is>
          <t>BLEKINGE LÄN</t>
        </is>
      </c>
      <c r="G247" t="inlineStr">
        <is>
          <t>KARLSKRONA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46237</v>
      </c>
      <c r="F248" t="inlineStr">
        <is>
          <t>BLEKINGE LÄN</t>
        </is>
      </c>
      <c r="G248" t="inlineStr">
        <is>
          <t>KARLSKRONA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46237</v>
      </c>
      <c r="F249" t="inlineStr">
        <is>
          <t>BLEKINGE LÄN</t>
        </is>
      </c>
      <c r="G249" t="inlineStr">
        <is>
          <t>KARLSKRONA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46237</v>
      </c>
      <c r="F250" t="inlineStr">
        <is>
          <t>BLEKINGE LÄN</t>
        </is>
      </c>
      <c r="G250" t="inlineStr">
        <is>
          <t>KARLSKRONA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46237</v>
      </c>
      <c r="F251" t="inlineStr">
        <is>
          <t>BLEKINGE LÄN</t>
        </is>
      </c>
      <c r="G251" t="inlineStr">
        <is>
          <t>KARLSKRONA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45028</v>
      </c>
      <c r="E252" s="1" t="n">
        <v>46237</v>
      </c>
      <c r="F252" t="inlineStr">
        <is>
          <t>BLEKINGE LÄN</t>
        </is>
      </c>
      <c r="G252" t="inlineStr">
        <is>
          <t>KARLSKRONA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46237</v>
      </c>
      <c r="F253" t="inlineStr">
        <is>
          <t>BLEKINGE LÄN</t>
        </is>
      </c>
      <c r="G253" t="inlineStr">
        <is>
          <t>KARLSKRONA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45225</v>
      </c>
      <c r="E254" s="1" t="n">
        <v>46237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46237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46237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46237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44866</v>
      </c>
      <c r="E258" s="1" t="n">
        <v>46237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46237</v>
      </c>
      <c r="F259" t="inlineStr">
        <is>
          <t>BLEKINGE LÄN</t>
        </is>
      </c>
      <c r="G259" t="inlineStr">
        <is>
          <t>KARLSKRONA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46237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44692</v>
      </c>
      <c r="E261" s="1" t="n">
        <v>46237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46237</v>
      </c>
      <c r="F262" t="inlineStr">
        <is>
          <t>BLEKINGE LÄN</t>
        </is>
      </c>
      <c r="G262" t="inlineStr">
        <is>
          <t>KARLSKRONA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45565</v>
      </c>
      <c r="E263" s="1" t="n">
        <v>46237</v>
      </c>
      <c r="F263" t="inlineStr">
        <is>
          <t>BLEKINGE LÄN</t>
        </is>
      </c>
      <c r="G263" t="inlineStr">
        <is>
          <t>KARLSKRONA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46237</v>
      </c>
      <c r="F264" t="inlineStr">
        <is>
          <t>BLEKINGE LÄN</t>
        </is>
      </c>
      <c r="G264" t="inlineStr">
        <is>
          <t>KARLSKRONA</t>
        </is>
      </c>
      <c r="I264" t="n">
        <v>14.2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51477-2021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44461</v>
      </c>
      <c r="E265" s="1" t="n">
        <v>46237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46237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46237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46237</v>
      </c>
      <c r="F268" t="inlineStr">
        <is>
          <t>BLEKINGE LÄN</t>
        </is>
      </c>
      <c r="G268" t="inlineStr">
        <is>
          <t>KARLSKRONA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46237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44693</v>
      </c>
      <c r="E270" s="1" t="n">
        <v>46237</v>
      </c>
      <c r="F270" t="inlineStr">
        <is>
          <t>BLEKINGE LÄN</t>
        </is>
      </c>
      <c r="G270" t="inlineStr">
        <is>
          <t>KARLSKRONA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46237</v>
      </c>
      <c r="F271" t="inlineStr">
        <is>
          <t>BLEKINGE LÄN</t>
        </is>
      </c>
      <c r="G271" t="inlineStr">
        <is>
          <t>KARLSKRONA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46237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44920</v>
      </c>
      <c r="E273" s="1" t="n">
        <v>46237</v>
      </c>
      <c r="F273" t="inlineStr">
        <is>
          <t>BLEKINGE LÄN</t>
        </is>
      </c>
      <c r="G273" t="inlineStr">
        <is>
          <t>KARLSKRONA</t>
        </is>
      </c>
      <c r="I273" t="n">
        <v>25.5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46237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46237</v>
      </c>
      <c r="F275" t="inlineStr">
        <is>
          <t>BLEKINGE LÄN</t>
        </is>
      </c>
      <c r="G275" t="inlineStr">
        <is>
          <t>KARLSKRONA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44747</v>
      </c>
      <c r="E276" s="1" t="n">
        <v>46237</v>
      </c>
      <c r="F276" t="inlineStr">
        <is>
          <t>BLEKINGE LÄN</t>
        </is>
      </c>
      <c r="G276" t="inlineStr">
        <is>
          <t>KARLSKRONA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46237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46237</v>
      </c>
      <c r="F278" t="inlineStr">
        <is>
          <t>BLEKINGE LÄN</t>
        </is>
      </c>
      <c r="G278" t="inlineStr">
        <is>
          <t>KARLSKRONA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46237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46237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44986</v>
      </c>
      <c r="E281" s="1" t="n">
        <v>46237</v>
      </c>
      <c r="F281" t="inlineStr">
        <is>
          <t>BLEKINGE LÄN</t>
        </is>
      </c>
      <c r="G281" t="inlineStr">
        <is>
          <t>KARLSKRONA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46237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46237</v>
      </c>
      <c r="F283" t="inlineStr">
        <is>
          <t>BLEKINGE LÄN</t>
        </is>
      </c>
      <c r="G283" t="inlineStr">
        <is>
          <t>KARLSKRONA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46237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46237</v>
      </c>
      <c r="F285" t="inlineStr">
        <is>
          <t>BLEKINGE LÄN</t>
        </is>
      </c>
      <c r="G285" t="inlineStr">
        <is>
          <t>KARLSKRONA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46237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46237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46237</v>
      </c>
      <c r="F288" t="inlineStr">
        <is>
          <t>BLEKINGE LÄN</t>
        </is>
      </c>
      <c r="G288" t="inlineStr">
        <is>
          <t>KARLSKRONA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46237</v>
      </c>
      <c r="F289" t="inlineStr">
        <is>
          <t>BLEKINGE LÄN</t>
        </is>
      </c>
      <c r="G289" t="inlineStr">
        <is>
          <t>KARLSKRONA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46237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46237</v>
      </c>
      <c r="F291" t="inlineStr">
        <is>
          <t>BLEKINGE LÄN</t>
        </is>
      </c>
      <c r="G291" t="inlineStr">
        <is>
          <t>KARLSKRONA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44638</v>
      </c>
      <c r="E292" s="1" t="n">
        <v>46237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46237</v>
      </c>
      <c r="F293" t="inlineStr">
        <is>
          <t>BLEKINGE LÄN</t>
        </is>
      </c>
      <c r="G293" t="inlineStr">
        <is>
          <t>KARLSKRONA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46237</v>
      </c>
      <c r="F294" t="inlineStr">
        <is>
          <t>BLEKINGE LÄN</t>
        </is>
      </c>
      <c r="G294" t="inlineStr">
        <is>
          <t>KARLSKRONA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46237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46237</v>
      </c>
      <c r="F296" t="inlineStr">
        <is>
          <t>BLEKINGE LÄN</t>
        </is>
      </c>
      <c r="G296" t="inlineStr">
        <is>
          <t>KARLSKRONA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46237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46237</v>
      </c>
      <c r="F298" t="inlineStr">
        <is>
          <t>BLEKINGE LÄN</t>
        </is>
      </c>
      <c r="G298" t="inlineStr">
        <is>
          <t>KARLSKRONA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46237</v>
      </c>
      <c r="F299" t="inlineStr">
        <is>
          <t>BLEKINGE LÄN</t>
        </is>
      </c>
      <c r="G299" t="inlineStr">
        <is>
          <t>KARLSKRONA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46237</v>
      </c>
      <c r="F300" t="inlineStr">
        <is>
          <t>BLEKINGE LÄN</t>
        </is>
      </c>
      <c r="G300" t="inlineStr">
        <is>
          <t>KARLSKRONA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44619</v>
      </c>
      <c r="E301" s="1" t="n">
        <v>46237</v>
      </c>
      <c r="F301" t="inlineStr">
        <is>
          <t>BLEKINGE LÄN</t>
        </is>
      </c>
      <c r="G301" t="inlineStr">
        <is>
          <t>KARLSKRONA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46237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46237</v>
      </c>
      <c r="F303" t="inlineStr">
        <is>
          <t>BLEKINGE LÄN</t>
        </is>
      </c>
      <c r="G303" t="inlineStr">
        <is>
          <t>KARLSKRONA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46237</v>
      </c>
      <c r="F304" t="inlineStr">
        <is>
          <t>BLEKINGE LÄN</t>
        </is>
      </c>
      <c r="G304" t="inlineStr">
        <is>
          <t>KARLSKRONA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46237</v>
      </c>
      <c r="F305" t="inlineStr">
        <is>
          <t>BLEKINGE LÄN</t>
        </is>
      </c>
      <c r="G305" t="inlineStr">
        <is>
          <t>KARLSKRONA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46237</v>
      </c>
      <c r="F306" t="inlineStr">
        <is>
          <t>BLEKINGE LÄN</t>
        </is>
      </c>
      <c r="G306" t="inlineStr">
        <is>
          <t>KARLSKRONA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46237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46237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46237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46237</v>
      </c>
      <c r="F310" t="inlineStr">
        <is>
          <t>BLEKINGE LÄN</t>
        </is>
      </c>
      <c r="G310" t="inlineStr">
        <is>
          <t>KARLSKRONA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46237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46237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46237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46237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46237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46237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45990-2021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44441</v>
      </c>
      <c r="E317" s="1" t="n">
        <v>46237</v>
      </c>
      <c r="F317" t="inlineStr">
        <is>
          <t>BLEKINGE LÄN</t>
        </is>
      </c>
      <c r="G317" t="inlineStr">
        <is>
          <t>KARLSKRONA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46237</v>
      </c>
      <c r="F318" t="inlineStr">
        <is>
          <t>BLEKINGE LÄN</t>
        </is>
      </c>
      <c r="G318" t="inlineStr">
        <is>
          <t>KARLSKRONA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46237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46237</v>
      </c>
      <c r="F320" t="inlineStr">
        <is>
          <t>BLEKINGE LÄN</t>
        </is>
      </c>
      <c r="G320" t="inlineStr">
        <is>
          <t>KARLSKRONA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46237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46237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46237</v>
      </c>
      <c r="F323" t="inlineStr">
        <is>
          <t>BLEKINGE LÄN</t>
        </is>
      </c>
      <c r="G323" t="inlineStr">
        <is>
          <t>KARLSKRONA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46237</v>
      </c>
      <c r="F324" t="inlineStr">
        <is>
          <t>BLEKINGE LÄN</t>
        </is>
      </c>
      <c r="G324" t="inlineStr">
        <is>
          <t>KARLSKRONA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46237</v>
      </c>
      <c r="F325" t="inlineStr">
        <is>
          <t>BLEKINGE LÄN</t>
        </is>
      </c>
      <c r="G325" t="inlineStr">
        <is>
          <t>KARLSKRONA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44757</v>
      </c>
      <c r="E326" s="1" t="n">
        <v>46237</v>
      </c>
      <c r="F326" t="inlineStr">
        <is>
          <t>BLEKINGE LÄN</t>
        </is>
      </c>
      <c r="G326" t="inlineStr">
        <is>
          <t>KARLSKRONA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46237</v>
      </c>
      <c r="F327" t="inlineStr">
        <is>
          <t>BLEKINGE LÄN</t>
        </is>
      </c>
      <c r="G327" t="inlineStr">
        <is>
          <t>KARLSKRONA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46237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46237</v>
      </c>
      <c r="F329" t="inlineStr">
        <is>
          <t>BLEKINGE LÄN</t>
        </is>
      </c>
      <c r="G329" t="inlineStr">
        <is>
          <t>KARLSKRONA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46237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46237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46237</v>
      </c>
      <c r="F332" t="inlineStr">
        <is>
          <t>BLEKINGE LÄN</t>
        </is>
      </c>
      <c r="G332" t="inlineStr">
        <is>
          <t>KARLSKRONA</t>
        </is>
      </c>
      <c r="I332" t="n">
        <v>10.6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46148</v>
      </c>
      <c r="E333" s="1" t="n">
        <v>46237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46237</v>
      </c>
      <c r="F334" t="inlineStr">
        <is>
          <t>BLEKINGE LÄN</t>
        </is>
      </c>
      <c r="G334" t="inlineStr">
        <is>
          <t>KARLSKRONA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46237</v>
      </c>
      <c r="F335" t="inlineStr">
        <is>
          <t>BLEKINGE LÄN</t>
        </is>
      </c>
      <c r="G335" t="inlineStr">
        <is>
          <t>KARLSKRONA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46237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45051</v>
      </c>
      <c r="E337" s="1" t="n">
        <v>46237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44593</v>
      </c>
      <c r="E338" s="1" t="n">
        <v>46237</v>
      </c>
      <c r="F338" t="inlineStr">
        <is>
          <t>BLEKINGE LÄN</t>
        </is>
      </c>
      <c r="G338" t="inlineStr">
        <is>
          <t>KARLSKRONA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46237</v>
      </c>
      <c r="F339" t="inlineStr">
        <is>
          <t>BLEKINGE LÄN</t>
        </is>
      </c>
      <c r="G339" t="inlineStr">
        <is>
          <t>KARLSKRONA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46237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46237</v>
      </c>
      <c r="F341" t="inlineStr">
        <is>
          <t>BLEKINGE LÄN</t>
        </is>
      </c>
      <c r="G341" t="inlineStr">
        <is>
          <t>KARLSKRONA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46237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44875</v>
      </c>
      <c r="E343" s="1" t="n">
        <v>46237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60901-2022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46237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46237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46237</v>
      </c>
      <c r="F346" t="inlineStr">
        <is>
          <t>BLEKINGE LÄN</t>
        </is>
      </c>
      <c r="G346" t="inlineStr">
        <is>
          <t>KARLSKRONA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46237</v>
      </c>
      <c r="F347" t="inlineStr">
        <is>
          <t>BLEKINGE LÄN</t>
        </is>
      </c>
      <c r="G347" t="inlineStr">
        <is>
          <t>KARLSKRONA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46237</v>
      </c>
      <c r="F348" t="inlineStr">
        <is>
          <t>BLEKINGE LÄN</t>
        </is>
      </c>
      <c r="G348" t="inlineStr">
        <is>
          <t>KARLSKRONA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45142</v>
      </c>
      <c r="E349" s="1" t="n">
        <v>46237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46237</v>
      </c>
      <c r="F350" t="inlineStr">
        <is>
          <t>BLEKINGE LÄN</t>
        </is>
      </c>
      <c r="G350" t="inlineStr">
        <is>
          <t>KARLSKRONA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46237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46237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46237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57996-2024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45631</v>
      </c>
      <c r="E354" s="1" t="n">
        <v>46237</v>
      </c>
      <c r="F354" t="inlineStr">
        <is>
          <t>BLEKINGE LÄN</t>
        </is>
      </c>
      <c r="G354" t="inlineStr">
        <is>
          <t>KARLSKRONA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46237</v>
      </c>
      <c r="F355" t="inlineStr">
        <is>
          <t>BLEKINGE LÄN</t>
        </is>
      </c>
      <c r="G355" t="inlineStr">
        <is>
          <t>KARLSKRONA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45178</v>
      </c>
      <c r="E356" s="1" t="n">
        <v>46237</v>
      </c>
      <c r="F356" t="inlineStr">
        <is>
          <t>BLEKINGE LÄN</t>
        </is>
      </c>
      <c r="G356" t="inlineStr">
        <is>
          <t>KARLSKRONA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46237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46237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46237</v>
      </c>
      <c r="F359" t="inlineStr">
        <is>
          <t>BLEKINGE LÄN</t>
        </is>
      </c>
      <c r="G359" t="inlineStr">
        <is>
          <t>KARLSKRONA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46237</v>
      </c>
      <c r="F360" t="inlineStr">
        <is>
          <t>BLEKINGE LÄN</t>
        </is>
      </c>
      <c r="G360" t="inlineStr">
        <is>
          <t>KARLSKRONA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46237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46237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46237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46237</v>
      </c>
      <c r="F364" t="inlineStr">
        <is>
          <t>BLEKINGE LÄN</t>
        </is>
      </c>
      <c r="G364" t="inlineStr">
        <is>
          <t>KARLSKRONA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44747</v>
      </c>
      <c r="E365" s="1" t="n">
        <v>46237</v>
      </c>
      <c r="F365" t="inlineStr">
        <is>
          <t>BLEKINGE LÄN</t>
        </is>
      </c>
      <c r="G365" t="inlineStr">
        <is>
          <t>KARLSKRONA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55147-2021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44474</v>
      </c>
      <c r="E366" s="1" t="n">
        <v>46237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44820</v>
      </c>
      <c r="E367" s="1" t="n">
        <v>46237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46237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53850-2025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46237</v>
      </c>
      <c r="F369" t="inlineStr">
        <is>
          <t>BLEKINGE LÄN</t>
        </is>
      </c>
      <c r="G369" t="inlineStr">
        <is>
          <t>KARLSKRONA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46237</v>
      </c>
      <c r="F370" t="inlineStr">
        <is>
          <t>BLEKINGE LÄN</t>
        </is>
      </c>
      <c r="G370" t="inlineStr">
        <is>
          <t>KARLSKRONA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53864-2025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45961</v>
      </c>
      <c r="E371" s="1" t="n">
        <v>46237</v>
      </c>
      <c r="F371" t="inlineStr">
        <is>
          <t>BLEKINGE LÄN</t>
        </is>
      </c>
      <c r="G371" t="inlineStr">
        <is>
          <t>KARLSKRONA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53858-2025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45961</v>
      </c>
      <c r="E372" s="1" t="n">
        <v>46237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46237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45028</v>
      </c>
      <c r="E374" s="1" t="n">
        <v>46237</v>
      </c>
      <c r="F374" t="inlineStr">
        <is>
          <t>BLEKINGE LÄN</t>
        </is>
      </c>
      <c r="G374" t="inlineStr">
        <is>
          <t>KARLSKRONA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46237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46237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44988</v>
      </c>
      <c r="E377" s="1" t="n">
        <v>46237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44840</v>
      </c>
      <c r="E378" s="1" t="n">
        <v>46237</v>
      </c>
      <c r="F378" t="inlineStr">
        <is>
          <t>BLEKINGE LÄN</t>
        </is>
      </c>
      <c r="G378" t="inlineStr">
        <is>
          <t>KARLSKRONA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65639-2021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44516</v>
      </c>
      <c r="E379" s="1" t="n">
        <v>46237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46237</v>
      </c>
      <c r="F380" t="inlineStr">
        <is>
          <t>BLEKINGE LÄN</t>
        </is>
      </c>
      <c r="G380" t="inlineStr">
        <is>
          <t>KARLSKRONA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46237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46237</v>
      </c>
      <c r="F382" t="inlineStr">
        <is>
          <t>BLEKINGE LÄN</t>
        </is>
      </c>
      <c r="G382" t="inlineStr">
        <is>
          <t>KARLSKRONA</t>
        </is>
      </c>
      <c r="I382" t="n">
        <v>10.5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45324</v>
      </c>
      <c r="E383" s="1" t="n">
        <v>46237</v>
      </c>
      <c r="F383" t="inlineStr">
        <is>
          <t>BLEKINGE LÄN</t>
        </is>
      </c>
      <c r="G383" t="inlineStr">
        <is>
          <t>KARLSKRONA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44592</v>
      </c>
      <c r="E384" s="1" t="n">
        <v>46237</v>
      </c>
      <c r="F384" t="inlineStr">
        <is>
          <t>BLEKINGE LÄN</t>
        </is>
      </c>
      <c r="G384" t="inlineStr">
        <is>
          <t>KARLSKRONA</t>
        </is>
      </c>
      <c r="H384" t="inlineStr">
        <is>
          <t>Kommuner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46237</v>
      </c>
      <c r="F385" t="inlineStr">
        <is>
          <t>BLEKINGE LÄN</t>
        </is>
      </c>
      <c r="G385" t="inlineStr">
        <is>
          <t>KARLSKRONA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46237</v>
      </c>
      <c r="F386" t="inlineStr">
        <is>
          <t>BLEKINGE LÄN</t>
        </is>
      </c>
      <c r="G386" t="inlineStr">
        <is>
          <t>KARLSKRONA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46237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45809</v>
      </c>
      <c r="E388" s="1" t="n">
        <v>46237</v>
      </c>
      <c r="F388" t="inlineStr">
        <is>
          <t>BLEKINGE LÄN</t>
        </is>
      </c>
      <c r="G388" t="inlineStr">
        <is>
          <t>KARLSKRONA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46237</v>
      </c>
      <c r="F389" t="inlineStr">
        <is>
          <t>BLEKINGE LÄN</t>
        </is>
      </c>
      <c r="G389" t="inlineStr">
        <is>
          <t>KARLSKRONA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46237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46158</v>
      </c>
      <c r="E391" s="1" t="n">
        <v>46237</v>
      </c>
      <c r="F391" t="inlineStr">
        <is>
          <t>BLEKINGE LÄN</t>
        </is>
      </c>
      <c r="G391" t="inlineStr">
        <is>
          <t>KARLSKRONA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46237</v>
      </c>
      <c r="F392" t="inlineStr">
        <is>
          <t>BLEKINGE LÄN</t>
        </is>
      </c>
      <c r="G392" t="inlineStr">
        <is>
          <t>KARLSKRONA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45972</v>
      </c>
      <c r="E393" s="1" t="n">
        <v>46237</v>
      </c>
      <c r="F393" t="inlineStr">
        <is>
          <t>BLEKINGE LÄN</t>
        </is>
      </c>
      <c r="G393" t="inlineStr">
        <is>
          <t>KARLSKRONA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46237</v>
      </c>
      <c r="F394" t="inlineStr">
        <is>
          <t>BLEKINGE LÄN</t>
        </is>
      </c>
      <c r="G394" t="inlineStr">
        <is>
          <t>KARLSKRONA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46237</v>
      </c>
      <c r="F395" t="inlineStr">
        <is>
          <t>BLEKINGE LÄN</t>
        </is>
      </c>
      <c r="G395" t="inlineStr">
        <is>
          <t>KARLSKRONA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45809</v>
      </c>
      <c r="E396" s="1" t="n">
        <v>46237</v>
      </c>
      <c r="F396" t="inlineStr">
        <is>
          <t>BLEKINGE LÄN</t>
        </is>
      </c>
      <c r="G396" t="inlineStr">
        <is>
          <t>KARLSKRONA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44748</v>
      </c>
      <c r="E397" s="1" t="n">
        <v>46237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46237</v>
      </c>
      <c r="F398" t="inlineStr">
        <is>
          <t>BLEKINGE LÄN</t>
        </is>
      </c>
      <c r="G398" t="inlineStr">
        <is>
          <t>KARLSKRONA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46158</v>
      </c>
      <c r="E399" s="1" t="n">
        <v>46237</v>
      </c>
      <c r="F399" t="inlineStr">
        <is>
          <t>BLEKINGE LÄN</t>
        </is>
      </c>
      <c r="G399" t="inlineStr">
        <is>
          <t>KARLSKRONA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46158</v>
      </c>
      <c r="E400" s="1" t="n">
        <v>46237</v>
      </c>
      <c r="F400" t="inlineStr">
        <is>
          <t>BLEKINGE LÄN</t>
        </is>
      </c>
      <c r="G400" t="inlineStr">
        <is>
          <t>KARLSKRONA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44471-2021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44435</v>
      </c>
      <c r="E401" s="1" t="n">
        <v>46237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46237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46237</v>
      </c>
      <c r="F403" t="inlineStr">
        <is>
          <t>BLEKINGE LÄN</t>
        </is>
      </c>
      <c r="G403" t="inlineStr">
        <is>
          <t>KARLSKRONA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46158</v>
      </c>
      <c r="E404" s="1" t="n">
        <v>46237</v>
      </c>
      <c r="F404" t="inlineStr">
        <is>
          <t>BLEKINGE LÄN</t>
        </is>
      </c>
      <c r="G404" t="inlineStr">
        <is>
          <t>KARLSKRONA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46158</v>
      </c>
      <c r="E405" s="1" t="n">
        <v>46237</v>
      </c>
      <c r="F405" t="inlineStr">
        <is>
          <t>BLEKINGE LÄN</t>
        </is>
      </c>
      <c r="G405" t="inlineStr">
        <is>
          <t>KARLSKRONA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46237</v>
      </c>
      <c r="F406" t="inlineStr">
        <is>
          <t>BLEKINGE LÄN</t>
        </is>
      </c>
      <c r="G406" t="inlineStr">
        <is>
          <t>KARLSKRONA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45215</v>
      </c>
      <c r="E407" s="1" t="n">
        <v>46237</v>
      </c>
      <c r="F407" t="inlineStr">
        <is>
          <t>BLEKINGE LÄN</t>
        </is>
      </c>
      <c r="G407" t="inlineStr">
        <is>
          <t>KARLSKRONA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46237</v>
      </c>
      <c r="F408" t="inlineStr">
        <is>
          <t>BLEKINGE LÄN</t>
        </is>
      </c>
      <c r="G408" t="inlineStr">
        <is>
          <t>KARLSKRONA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46237</v>
      </c>
      <c r="F409" t="inlineStr">
        <is>
          <t>BLEKINGE LÄN</t>
        </is>
      </c>
      <c r="G409" t="inlineStr">
        <is>
          <t>KARLSKRONA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45699</v>
      </c>
      <c r="E410" s="1" t="n">
        <v>46237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46237</v>
      </c>
      <c r="F411" t="inlineStr">
        <is>
          <t>BLEKINGE LÄN</t>
        </is>
      </c>
      <c r="G411" t="inlineStr">
        <is>
          <t>KARLSKRONA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56600-2023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45238</v>
      </c>
      <c r="E412" s="1" t="n">
        <v>46237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46237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46237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68972-2021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44530</v>
      </c>
      <c r="E415" s="1" t="n">
        <v>46237</v>
      </c>
      <c r="F415" t="inlineStr">
        <is>
          <t>BLEKINGE LÄN</t>
        </is>
      </c>
      <c r="G415" t="inlineStr">
        <is>
          <t>KARLSKRONA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45080</v>
      </c>
      <c r="E416" s="1" t="n">
        <v>46237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46237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46237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46237</v>
      </c>
      <c r="F419" t="inlineStr">
        <is>
          <t>BLEKINGE LÄN</t>
        </is>
      </c>
      <c r="G419" t="inlineStr">
        <is>
          <t>KARLSKRONA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46237</v>
      </c>
      <c r="F420" t="inlineStr">
        <is>
          <t>BLEKINGE LÄN</t>
        </is>
      </c>
      <c r="G420" t="inlineStr">
        <is>
          <t>KARLSKRONA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46237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46237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46237</v>
      </c>
      <c r="F423" t="inlineStr">
        <is>
          <t>BLEKINGE LÄN</t>
        </is>
      </c>
      <c r="G423" t="inlineStr">
        <is>
          <t>KARLSKRONA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46237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46237</v>
      </c>
      <c r="F425" t="inlineStr">
        <is>
          <t>BLEKINGE LÄN</t>
        </is>
      </c>
      <c r="G425" t="inlineStr">
        <is>
          <t>KARLSKRONA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46237</v>
      </c>
      <c r="F426" t="inlineStr">
        <is>
          <t>BLEKINGE LÄN</t>
        </is>
      </c>
      <c r="G426" t="inlineStr">
        <is>
          <t>KARLSKRONA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46237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44636</v>
      </c>
      <c r="E428" s="1" t="n">
        <v>46237</v>
      </c>
      <c r="F428" t="inlineStr">
        <is>
          <t>BLEKINGE LÄN</t>
        </is>
      </c>
      <c r="G428" t="inlineStr">
        <is>
          <t>KARLSKRONA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46237</v>
      </c>
      <c r="F429" t="inlineStr">
        <is>
          <t>BLEKINGE LÄN</t>
        </is>
      </c>
      <c r="G429" t="inlineStr">
        <is>
          <t>KARLSKRONA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46237</v>
      </c>
      <c r="F430" t="inlineStr">
        <is>
          <t>BLEKINGE LÄN</t>
        </is>
      </c>
      <c r="G430" t="inlineStr">
        <is>
          <t>KARLSKRONA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44837</v>
      </c>
      <c r="E431" s="1" t="n">
        <v>46237</v>
      </c>
      <c r="F431" t="inlineStr">
        <is>
          <t>BLEKINGE LÄN</t>
        </is>
      </c>
      <c r="G431" t="inlineStr">
        <is>
          <t>KARLSKRONA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45735</v>
      </c>
      <c r="E432" s="1" t="n">
        <v>46237</v>
      </c>
      <c r="F432" t="inlineStr">
        <is>
          <t>BLEKINGE LÄN</t>
        </is>
      </c>
      <c r="G432" t="inlineStr">
        <is>
          <t>KARLSKRONA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46237</v>
      </c>
      <c r="F433" t="inlineStr">
        <is>
          <t>BLEKINGE LÄN</t>
        </is>
      </c>
      <c r="G433" t="inlineStr">
        <is>
          <t>KARLSKRONA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46237</v>
      </c>
      <c r="F434" t="inlineStr">
        <is>
          <t>BLEKINGE LÄN</t>
        </is>
      </c>
      <c r="G434" t="inlineStr">
        <is>
          <t>KARLSKRONA</t>
        </is>
      </c>
      <c r="I434" t="n">
        <v>13.2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46237</v>
      </c>
      <c r="F435" t="inlineStr">
        <is>
          <t>BLEKINGE LÄN</t>
        </is>
      </c>
      <c r="G435" t="inlineStr">
        <is>
          <t>KARLSKRONA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45085</v>
      </c>
      <c r="E436" s="1" t="n">
        <v>46237</v>
      </c>
      <c r="F436" t="inlineStr">
        <is>
          <t>BLEKINGE LÄN</t>
        </is>
      </c>
      <c r="G436" t="inlineStr">
        <is>
          <t>KARLSKRONA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34319-2025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45846</v>
      </c>
      <c r="E437" s="1" t="n">
        <v>46237</v>
      </c>
      <c r="F437" t="inlineStr">
        <is>
          <t>BLEKINGE LÄN</t>
        </is>
      </c>
      <c r="G437" t="inlineStr">
        <is>
          <t>KARLSKRONA</t>
        </is>
      </c>
      <c r="H437" t="inlineStr">
        <is>
          <t>Kommuner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46237</v>
      </c>
      <c r="F438" t="inlineStr">
        <is>
          <t>BLEKINGE LÄN</t>
        </is>
      </c>
      <c r="G438" t="inlineStr">
        <is>
          <t>KARLSKRONA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6509-2024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45340</v>
      </c>
      <c r="E439" s="1" t="n">
        <v>46237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46237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46237</v>
      </c>
      <c r="F441" t="inlineStr">
        <is>
          <t>BLEKINGE LÄN</t>
        </is>
      </c>
      <c r="G441" t="inlineStr">
        <is>
          <t>KARLSKRONA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51270-2021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46237</v>
      </c>
      <c r="F442" t="inlineStr">
        <is>
          <t>BLEKINGE LÄN</t>
        </is>
      </c>
      <c r="G442" t="inlineStr">
        <is>
          <t>KARLSKRONA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44860</v>
      </c>
      <c r="E443" s="1" t="n">
        <v>46237</v>
      </c>
      <c r="F443" t="inlineStr">
        <is>
          <t>BLEKINGE LÄN</t>
        </is>
      </c>
      <c r="G443" t="inlineStr">
        <is>
          <t>KARLSKRONA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54637-2023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45234</v>
      </c>
      <c r="E444" s="1" t="n">
        <v>46237</v>
      </c>
      <c r="F444" t="inlineStr">
        <is>
          <t>BLEKINGE LÄN</t>
        </is>
      </c>
      <c r="G444" t="inlineStr">
        <is>
          <t>KARLSKRONA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45085</v>
      </c>
      <c r="E445" s="1" t="n">
        <v>46237</v>
      </c>
      <c r="F445" t="inlineStr">
        <is>
          <t>BLEKINGE LÄN</t>
        </is>
      </c>
      <c r="G445" t="inlineStr">
        <is>
          <t>KARLSKRONA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45538</v>
      </c>
      <c r="E446" s="1" t="n">
        <v>46237</v>
      </c>
      <c r="F446" t="inlineStr">
        <is>
          <t>BLEKINGE LÄN</t>
        </is>
      </c>
      <c r="G446" t="inlineStr">
        <is>
          <t>KARLSKRONA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46237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44903</v>
      </c>
      <c r="E448" s="1" t="n">
        <v>46237</v>
      </c>
      <c r="F448" t="inlineStr">
        <is>
          <t>BLEKINGE LÄN</t>
        </is>
      </c>
      <c r="G448" t="inlineStr">
        <is>
          <t>KARLSKRONA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46237</v>
      </c>
      <c r="F449" t="inlineStr">
        <is>
          <t>BLEKINGE LÄN</t>
        </is>
      </c>
      <c r="G449" t="inlineStr">
        <is>
          <t>KARLSKRONA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46237</v>
      </c>
      <c r="F450" t="inlineStr">
        <is>
          <t>BLEKINGE LÄN</t>
        </is>
      </c>
      <c r="G450" t="inlineStr">
        <is>
          <t>KARLSKRONA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45393</v>
      </c>
      <c r="E451" s="1" t="n">
        <v>46237</v>
      </c>
      <c r="F451" t="inlineStr">
        <is>
          <t>BLEKINGE LÄN</t>
        </is>
      </c>
      <c r="G451" t="inlineStr">
        <is>
          <t>KARLSKRONA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46237</v>
      </c>
      <c r="F452" t="inlineStr">
        <is>
          <t>BLEKINGE LÄN</t>
        </is>
      </c>
      <c r="G452" t="inlineStr">
        <is>
          <t>KARLSKRONA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46237</v>
      </c>
      <c r="F453" t="inlineStr">
        <is>
          <t>BLEKINGE LÄN</t>
        </is>
      </c>
      <c r="G453" t="inlineStr">
        <is>
          <t>KARLSKRONA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46237</v>
      </c>
      <c r="F454" t="inlineStr">
        <is>
          <t>BLEKINGE LÄN</t>
        </is>
      </c>
      <c r="G454" t="inlineStr">
        <is>
          <t>KARLSKRONA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46237</v>
      </c>
      <c r="F455" t="inlineStr">
        <is>
          <t>BLEKINGE LÄN</t>
        </is>
      </c>
      <c r="G455" t="inlineStr">
        <is>
          <t>KARLSKRONA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46237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46237</v>
      </c>
      <c r="F457" t="inlineStr">
        <is>
          <t>BLEKINGE LÄN</t>
        </is>
      </c>
      <c r="G457" t="inlineStr">
        <is>
          <t>KARLSKRONA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45406</v>
      </c>
      <c r="E458" s="1" t="n">
        <v>46237</v>
      </c>
      <c r="F458" t="inlineStr">
        <is>
          <t>BLEKINGE LÄN</t>
        </is>
      </c>
      <c r="G458" t="inlineStr">
        <is>
          <t>KARLSKRONA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46237</v>
      </c>
      <c r="F459" t="inlineStr">
        <is>
          <t>BLEKINGE LÄN</t>
        </is>
      </c>
      <c r="G459" t="inlineStr">
        <is>
          <t>KARLSKRONA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46237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8094-2022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44609</v>
      </c>
      <c r="E461" s="1" t="n">
        <v>46237</v>
      </c>
      <c r="F461" t="inlineStr">
        <is>
          <t>BLEKINGE LÄN</t>
        </is>
      </c>
      <c r="G461" t="inlineStr">
        <is>
          <t>KARLSKRONA</t>
        </is>
      </c>
      <c r="H461" t="inlineStr">
        <is>
          <t>Kommuner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46237</v>
      </c>
      <c r="F462" t="inlineStr">
        <is>
          <t>BLEKINGE LÄN</t>
        </is>
      </c>
      <c r="G462" t="inlineStr">
        <is>
          <t>KARLSKRONA</t>
        </is>
      </c>
      <c r="I462" t="n">
        <v>10.8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46237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44847</v>
      </c>
      <c r="E464" s="1" t="n">
        <v>46237</v>
      </c>
      <c r="F464" t="inlineStr">
        <is>
          <t>BLEKINGE LÄN</t>
        </is>
      </c>
      <c r="G464" t="inlineStr">
        <is>
          <t>KARLSKRONA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45092</v>
      </c>
      <c r="E465" s="1" t="n">
        <v>46237</v>
      </c>
      <c r="F465" t="inlineStr">
        <is>
          <t>BLEKINGE LÄN</t>
        </is>
      </c>
      <c r="G465" t="inlineStr">
        <is>
          <t>KARLSKRONA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46237</v>
      </c>
      <c r="F466" t="inlineStr">
        <is>
          <t>BLEKINGE LÄN</t>
        </is>
      </c>
      <c r="G466" t="inlineStr">
        <is>
          <t>KARLSKRONA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45105</v>
      </c>
      <c r="E467" s="1" t="n">
        <v>46237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46237</v>
      </c>
      <c r="F468" t="inlineStr">
        <is>
          <t>BLEKINGE LÄN</t>
        </is>
      </c>
      <c r="G468" t="inlineStr">
        <is>
          <t>KARLSKRONA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45674</v>
      </c>
      <c r="E469" s="1" t="n">
        <v>46237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45454</v>
      </c>
      <c r="E470" s="1" t="n">
        <v>46237</v>
      </c>
      <c r="F470" t="inlineStr">
        <is>
          <t>BLEKINGE LÄN</t>
        </is>
      </c>
      <c r="G470" t="inlineStr">
        <is>
          <t>KARLSKRONA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46237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46237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46237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45108</v>
      </c>
      <c r="E474" s="1" t="n">
        <v>46237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46237</v>
      </c>
      <c r="F475" t="inlineStr">
        <is>
          <t>BLEKINGE LÄN</t>
        </is>
      </c>
      <c r="G475" t="inlineStr">
        <is>
          <t>KARLSKRONA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46237</v>
      </c>
      <c r="F476" t="inlineStr">
        <is>
          <t>BLEKINGE LÄN</t>
        </is>
      </c>
      <c r="G476" t="inlineStr">
        <is>
          <t>KARLSKRONA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46237</v>
      </c>
      <c r="F477" t="inlineStr">
        <is>
          <t>BLEKINGE LÄN</t>
        </is>
      </c>
      <c r="G477" t="inlineStr">
        <is>
          <t>KARLSKRONA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14648-2023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45013</v>
      </c>
      <c r="E478" s="1" t="n">
        <v>46237</v>
      </c>
      <c r="F478" t="inlineStr">
        <is>
          <t>BLEKINGE LÄN</t>
        </is>
      </c>
      <c r="G478" t="inlineStr">
        <is>
          <t>KARLSKRONA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45050</v>
      </c>
      <c r="E479" s="1" t="n">
        <v>46237</v>
      </c>
      <c r="F479" t="inlineStr">
        <is>
          <t>BLEKINGE LÄN</t>
        </is>
      </c>
      <c r="G479" t="inlineStr">
        <is>
          <t>KARLSKRONA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45028</v>
      </c>
      <c r="E480" s="1" t="n">
        <v>46237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46237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46237</v>
      </c>
      <c r="F482" t="inlineStr">
        <is>
          <t>BLEKINGE LÄN</t>
        </is>
      </c>
      <c r="G482" t="inlineStr">
        <is>
          <t>KARLSKRONA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45672</v>
      </c>
      <c r="E483" s="1" t="n">
        <v>46237</v>
      </c>
      <c r="F483" t="inlineStr">
        <is>
          <t>BLEKINGE LÄN</t>
        </is>
      </c>
      <c r="G483" t="inlineStr">
        <is>
          <t>KARLSKRONA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46237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46237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45245</v>
      </c>
      <c r="E486" s="1" t="n">
        <v>46237</v>
      </c>
      <c r="F486" t="inlineStr">
        <is>
          <t>BLEKINGE LÄN</t>
        </is>
      </c>
      <c r="G486" t="inlineStr">
        <is>
          <t>KARLSKRONA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46237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72478-2021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44545</v>
      </c>
      <c r="E488" s="1" t="n">
        <v>46237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45662</v>
      </c>
      <c r="E489" s="1" t="n">
        <v>46237</v>
      </c>
      <c r="F489" t="inlineStr">
        <is>
          <t>BLEKINGE LÄN</t>
        </is>
      </c>
      <c r="G489" t="inlineStr">
        <is>
          <t>KARLSKRONA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45344</v>
      </c>
      <c r="E490" s="1" t="n">
        <v>46237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73356-2021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46237</v>
      </c>
      <c r="F491" t="inlineStr">
        <is>
          <t>BLEKINGE LÄN</t>
        </is>
      </c>
      <c r="G491" t="inlineStr">
        <is>
          <t>KARLSKRONA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46237</v>
      </c>
      <c r="F492" t="inlineStr">
        <is>
          <t>BLEKINGE LÄN</t>
        </is>
      </c>
      <c r="G492" t="inlineStr">
        <is>
          <t>KARLSKRONA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46027</v>
      </c>
      <c r="E493" s="1" t="n">
        <v>46237</v>
      </c>
      <c r="F493" t="inlineStr">
        <is>
          <t>BLEKINGE LÄN</t>
        </is>
      </c>
      <c r="G493" t="inlineStr">
        <is>
          <t>KARLSKRONA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45393</v>
      </c>
      <c r="E494" s="1" t="n">
        <v>46237</v>
      </c>
      <c r="F494" t="inlineStr">
        <is>
          <t>BLEKINGE LÄN</t>
        </is>
      </c>
      <c r="G494" t="inlineStr">
        <is>
          <t>KARLSKRONA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45387</v>
      </c>
      <c r="E495" s="1" t="n">
        <v>46237</v>
      </c>
      <c r="F495" t="inlineStr">
        <is>
          <t>BLEKINGE LÄN</t>
        </is>
      </c>
      <c r="G495" t="inlineStr">
        <is>
          <t>KARLSKRONA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46237</v>
      </c>
      <c r="F496" t="inlineStr">
        <is>
          <t>BLEKINGE LÄN</t>
        </is>
      </c>
      <c r="G496" t="inlineStr">
        <is>
          <t>KARLSKRONA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46237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46237</v>
      </c>
      <c r="F498" t="inlineStr">
        <is>
          <t>BLEKINGE LÄN</t>
        </is>
      </c>
      <c r="G498" t="inlineStr">
        <is>
          <t>KARLSKRONA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46237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46237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44628</v>
      </c>
      <c r="E501" s="1" t="n">
        <v>46237</v>
      </c>
      <c r="F501" t="inlineStr">
        <is>
          <t>BLEKINGE LÄN</t>
        </is>
      </c>
      <c r="G501" t="inlineStr">
        <is>
          <t>KARLSKRONA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45093</v>
      </c>
      <c r="E502" s="1" t="n">
        <v>46237</v>
      </c>
      <c r="F502" t="inlineStr">
        <is>
          <t>BLEKINGE LÄN</t>
        </is>
      </c>
      <c r="G502" t="inlineStr">
        <is>
          <t>KARLSKRONA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46237</v>
      </c>
      <c r="F503" t="inlineStr">
        <is>
          <t>BLEKINGE LÄN</t>
        </is>
      </c>
      <c r="G503" t="inlineStr">
        <is>
          <t>KARLSKRONA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46237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46237</v>
      </c>
      <c r="F505" t="inlineStr">
        <is>
          <t>BLEKINGE LÄN</t>
        </is>
      </c>
      <c r="G505" t="inlineStr">
        <is>
          <t>KARLSKRONA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46237</v>
      </c>
      <c r="F506" t="inlineStr">
        <is>
          <t>BLEKINGE LÄN</t>
        </is>
      </c>
      <c r="G506" t="inlineStr">
        <is>
          <t>KARLSKRONA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46237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46237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46237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46176</v>
      </c>
      <c r="E510" s="1" t="n">
        <v>46237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45133</v>
      </c>
      <c r="E511" s="1" t="n">
        <v>46237</v>
      </c>
      <c r="F511" t="inlineStr">
        <is>
          <t>BLEKINGE LÄN</t>
        </is>
      </c>
      <c r="G511" t="inlineStr">
        <is>
          <t>KARLSKRONA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45483-2024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45577</v>
      </c>
      <c r="E512" s="1" t="n">
        <v>46237</v>
      </c>
      <c r="F512" t="inlineStr">
        <is>
          <t>BLEKINGE LÄN</t>
        </is>
      </c>
      <c r="G512" t="inlineStr">
        <is>
          <t>KARLSKRONA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53326-2022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46237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45020</v>
      </c>
      <c r="E514" s="1" t="n">
        <v>46237</v>
      </c>
      <c r="F514" t="inlineStr">
        <is>
          <t>BLEKINGE LÄN</t>
        </is>
      </c>
      <c r="G514" t="inlineStr">
        <is>
          <t>KARLSKRONA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46237</v>
      </c>
      <c r="F515" t="inlineStr">
        <is>
          <t>BLEKINGE LÄN</t>
        </is>
      </c>
      <c r="G515" t="inlineStr">
        <is>
          <t>KARLSKRONA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46237</v>
      </c>
      <c r="F516" t="inlineStr">
        <is>
          <t>BLEKINGE LÄN</t>
        </is>
      </c>
      <c r="G516" t="inlineStr">
        <is>
          <t>KARLSKRONA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46237</v>
      </c>
      <c r="F517" t="inlineStr">
        <is>
          <t>BLEKINGE LÄN</t>
        </is>
      </c>
      <c r="G517" t="inlineStr">
        <is>
          <t>KARLSKRONA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46237</v>
      </c>
      <c r="F518" t="inlineStr">
        <is>
          <t>BLEKINGE LÄN</t>
        </is>
      </c>
      <c r="G518" t="inlineStr">
        <is>
          <t>KARLSKRONA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46237</v>
      </c>
      <c r="F519" t="inlineStr">
        <is>
          <t>BLEKINGE LÄN</t>
        </is>
      </c>
      <c r="G519" t="inlineStr">
        <is>
          <t>KARLSKRONA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46237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46237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46237</v>
      </c>
      <c r="F522" t="inlineStr">
        <is>
          <t>BLEKINGE LÄN</t>
        </is>
      </c>
      <c r="G522" t="inlineStr">
        <is>
          <t>KARLSKRONA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46237</v>
      </c>
      <c r="F523" t="inlineStr">
        <is>
          <t>BLEKINGE LÄN</t>
        </is>
      </c>
      <c r="G523" t="inlineStr">
        <is>
          <t>KARLSKRONA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45156</v>
      </c>
      <c r="E524" s="1" t="n">
        <v>46237</v>
      </c>
      <c r="F524" t="inlineStr">
        <is>
          <t>BLEKINGE LÄN</t>
        </is>
      </c>
      <c r="G524" t="inlineStr">
        <is>
          <t>KARLSKRONA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46237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35643-2024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45531</v>
      </c>
      <c r="E526" s="1" t="n">
        <v>46237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46237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46237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45035</v>
      </c>
      <c r="E529" s="1" t="n">
        <v>46237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46237</v>
      </c>
      <c r="F530" t="inlineStr">
        <is>
          <t>BLEKINGE LÄN</t>
        </is>
      </c>
      <c r="G530" t="inlineStr">
        <is>
          <t>KARLSKRONA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44981</v>
      </c>
      <c r="E531" s="1" t="n">
        <v>46237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14853-2023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45014</v>
      </c>
      <c r="E532" s="1" t="n">
        <v>46237</v>
      </c>
      <c r="F532" t="inlineStr">
        <is>
          <t>BLEKINGE LÄN</t>
        </is>
      </c>
      <c r="G532" t="inlineStr">
        <is>
          <t>KARLSKRONA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6737-2026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46055</v>
      </c>
      <c r="E533" s="1" t="n">
        <v>46237</v>
      </c>
      <c r="F533" t="inlineStr">
        <is>
          <t>BLEKINGE LÄN</t>
        </is>
      </c>
      <c r="G533" t="inlineStr">
        <is>
          <t>KARLSKRONA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46237</v>
      </c>
      <c r="F534" t="inlineStr">
        <is>
          <t>BLEKINGE LÄN</t>
        </is>
      </c>
      <c r="G534" t="inlineStr">
        <is>
          <t>KARLSKRONA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46237</v>
      </c>
      <c r="F535" t="inlineStr">
        <is>
          <t>BLEKINGE LÄN</t>
        </is>
      </c>
      <c r="G535" t="inlineStr">
        <is>
          <t>KARLSKRONA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46237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46237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45084</v>
      </c>
      <c r="E538" s="1" t="n">
        <v>46237</v>
      </c>
      <c r="F538" t="inlineStr">
        <is>
          <t>BLEKINGE LÄN</t>
        </is>
      </c>
      <c r="G538" t="inlineStr">
        <is>
          <t>KARLSKRONA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46237</v>
      </c>
      <c r="F539" t="inlineStr">
        <is>
          <t>BLEKINGE LÄN</t>
        </is>
      </c>
      <c r="G539" t="inlineStr">
        <is>
          <t>KARLSKRONA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45573</v>
      </c>
      <c r="E540" s="1" t="n">
        <v>46237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46049</v>
      </c>
      <c r="E541" s="1" t="n">
        <v>46237</v>
      </c>
      <c r="F541" t="inlineStr">
        <is>
          <t>BLEKINGE LÄN</t>
        </is>
      </c>
      <c r="G541" t="inlineStr">
        <is>
          <t>KARLSKRONA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45127</v>
      </c>
      <c r="E542" s="1" t="n">
        <v>46237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17552-2024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45415</v>
      </c>
      <c r="E543" s="1" t="n">
        <v>46237</v>
      </c>
      <c r="F543" t="inlineStr">
        <is>
          <t>BLEKINGE LÄN</t>
        </is>
      </c>
      <c r="G543" t="inlineStr">
        <is>
          <t>KARLSKRONA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64820-2021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44512</v>
      </c>
      <c r="E544" s="1" t="n">
        <v>46237</v>
      </c>
      <c r="F544" t="inlineStr">
        <is>
          <t>BLEKINGE LÄN</t>
        </is>
      </c>
      <c r="G544" t="inlineStr">
        <is>
          <t>KARLSKRONA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46237</v>
      </c>
      <c r="F545" t="inlineStr">
        <is>
          <t>BLEKINGE LÄN</t>
        </is>
      </c>
      <c r="G545" t="inlineStr">
        <is>
          <t>KARLSKRONA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46237</v>
      </c>
      <c r="F546" t="inlineStr">
        <is>
          <t>BLEKINGE LÄN</t>
        </is>
      </c>
      <c r="G546" t="inlineStr">
        <is>
          <t>KARLSKRONA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45182</v>
      </c>
      <c r="E547" s="1" t="n">
        <v>46237</v>
      </c>
      <c r="F547" t="inlineStr">
        <is>
          <t>BLEKINGE LÄN</t>
        </is>
      </c>
      <c r="G547" t="inlineStr">
        <is>
          <t>KARLSKRONA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51934-2023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46237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46237</v>
      </c>
      <c r="F549" t="inlineStr">
        <is>
          <t>BLEKINGE LÄN</t>
        </is>
      </c>
      <c r="G549" t="inlineStr">
        <is>
          <t>KARLSKRONA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23410-2023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45076</v>
      </c>
      <c r="E550" s="1" t="n">
        <v>46237</v>
      </c>
      <c r="F550" t="inlineStr">
        <is>
          <t>BLEKINGE LÄN</t>
        </is>
      </c>
      <c r="G550" t="inlineStr">
        <is>
          <t>KARLSKRONA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46237</v>
      </c>
      <c r="F551" t="inlineStr">
        <is>
          <t>BLEKINGE LÄN</t>
        </is>
      </c>
      <c r="G551" t="inlineStr">
        <is>
          <t>KARLSKRONA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46237</v>
      </c>
      <c r="F552" t="inlineStr">
        <is>
          <t>BLEKINGE LÄN</t>
        </is>
      </c>
      <c r="G552" t="inlineStr">
        <is>
          <t>KARLSKRONA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46051</v>
      </c>
      <c r="E553" s="1" t="n">
        <v>46237</v>
      </c>
      <c r="F553" t="inlineStr">
        <is>
          <t>BLEKINGE LÄN</t>
        </is>
      </c>
      <c r="G553" t="inlineStr">
        <is>
          <t>KARLSKRONA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46237</v>
      </c>
      <c r="F554" t="inlineStr">
        <is>
          <t>BLEKINGE LÄN</t>
        </is>
      </c>
      <c r="G554" t="inlineStr">
        <is>
          <t>KARLSKRONA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46237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46183</v>
      </c>
      <c r="E556" s="1" t="n">
        <v>46237</v>
      </c>
      <c r="F556" t="inlineStr">
        <is>
          <t>BLEKINGE LÄN</t>
        </is>
      </c>
      <c r="G556" t="inlineStr">
        <is>
          <t>KARLSKRONA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46237</v>
      </c>
      <c r="F557" t="inlineStr">
        <is>
          <t>BLEKINGE LÄN</t>
        </is>
      </c>
      <c r="G557" t="inlineStr">
        <is>
          <t>KARLSKRONA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45094</v>
      </c>
      <c r="E558" s="1" t="n">
        <v>46237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46237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46237</v>
      </c>
      <c r="F560" t="inlineStr">
        <is>
          <t>BLEKINGE LÄN</t>
        </is>
      </c>
      <c r="G560" t="inlineStr">
        <is>
          <t>KARLSKRONA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42532-2023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46237</v>
      </c>
      <c r="F561" t="inlineStr">
        <is>
          <t>BLEKINGE LÄN</t>
        </is>
      </c>
      <c r="G561" t="inlineStr">
        <is>
          <t>KARLSKRONA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44581</v>
      </c>
      <c r="E562" s="1" t="n">
        <v>46237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46237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46237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49736-2023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46237</v>
      </c>
      <c r="F565" t="inlineStr">
        <is>
          <t>BLEKINGE LÄN</t>
        </is>
      </c>
      <c r="G565" t="inlineStr">
        <is>
          <t>KARLSKRONA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46230</v>
      </c>
      <c r="E566" s="1" t="n">
        <v>46237</v>
      </c>
      <c r="F566" t="inlineStr">
        <is>
          <t>BLEKINGE LÄN</t>
        </is>
      </c>
      <c r="G566" t="inlineStr">
        <is>
          <t>KARLSKRONA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46237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54956-2024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45619</v>
      </c>
      <c r="E568" s="1" t="n">
        <v>46237</v>
      </c>
      <c r="F568" t="inlineStr">
        <is>
          <t>BLEKINGE LÄN</t>
        </is>
      </c>
      <c r="G568" t="inlineStr">
        <is>
          <t>KARLSKRONA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45335</v>
      </c>
      <c r="E569" s="1" t="n">
        <v>46237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46237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22096-2024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45443</v>
      </c>
      <c r="E571" s="1" t="n">
        <v>46237</v>
      </c>
      <c r="F571" t="inlineStr">
        <is>
          <t>BLEKINGE LÄN</t>
        </is>
      </c>
      <c r="G571" t="inlineStr">
        <is>
          <t>KARLSKRONA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46237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27277-2026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46188</v>
      </c>
      <c r="E573" s="1" t="n">
        <v>46237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46237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4698-2024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46237</v>
      </c>
      <c r="F575" t="inlineStr">
        <is>
          <t>BLEKINGE LÄN</t>
        </is>
      </c>
      <c r="G575" t="inlineStr">
        <is>
          <t>KARLSKRONA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46237</v>
      </c>
      <c r="F576" t="inlineStr">
        <is>
          <t>BLEKINGE LÄN</t>
        </is>
      </c>
      <c r="G576" t="inlineStr">
        <is>
          <t>KARLSKRONA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46237</v>
      </c>
      <c r="F577" t="inlineStr">
        <is>
          <t>BLEKINGE LÄN</t>
        </is>
      </c>
      <c r="G577" t="inlineStr">
        <is>
          <t>KARLSKRONA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46237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45028</v>
      </c>
      <c r="E579" s="1" t="n">
        <v>46237</v>
      </c>
      <c r="F579" t="inlineStr">
        <is>
          <t>BLEKINGE LÄN</t>
        </is>
      </c>
      <c r="G579" t="inlineStr">
        <is>
          <t>KARLSKRONA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46237</v>
      </c>
      <c r="F580" t="inlineStr">
        <is>
          <t>BLEKINGE LÄN</t>
        </is>
      </c>
      <c r="G580" t="inlineStr">
        <is>
          <t>KARLSKRONA</t>
        </is>
      </c>
      <c r="H580" t="inlineStr">
        <is>
          <t>Kommuner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46237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45218</v>
      </c>
      <c r="E582" s="1" t="n">
        <v>46237</v>
      </c>
      <c r="F582" t="inlineStr">
        <is>
          <t>BLEKINGE LÄN</t>
        </is>
      </c>
      <c r="G582" t="inlineStr">
        <is>
          <t>KARLSKRONA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45673</v>
      </c>
      <c r="E583" s="1" t="n">
        <v>46237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17092-2023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45034</v>
      </c>
      <c r="E584" s="1" t="n">
        <v>46237</v>
      </c>
      <c r="F584" t="inlineStr">
        <is>
          <t>BLEKINGE LÄN</t>
        </is>
      </c>
      <c r="G584" t="inlineStr">
        <is>
          <t>KARLSKRONA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45218</v>
      </c>
      <c r="E585" s="1" t="n">
        <v>46237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46237</v>
      </c>
      <c r="F586" t="inlineStr">
        <is>
          <t>BLEKINGE LÄN</t>
        </is>
      </c>
      <c r="G586" t="inlineStr">
        <is>
          <t>KARLSKRONA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74237-2021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44553</v>
      </c>
      <c r="E587" s="1" t="n">
        <v>46237</v>
      </c>
      <c r="F587" t="inlineStr">
        <is>
          <t>BLEKINGE LÄN</t>
        </is>
      </c>
      <c r="G587" t="inlineStr">
        <is>
          <t>KARLSKRONA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23158-2023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46237</v>
      </c>
      <c r="F588" t="inlineStr">
        <is>
          <t>BLEKINGE LÄN</t>
        </is>
      </c>
      <c r="G588" t="inlineStr">
        <is>
          <t>KARLSKRONA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45393</v>
      </c>
      <c r="E589" s="1" t="n">
        <v>46237</v>
      </c>
      <c r="F589" t="inlineStr">
        <is>
          <t>BLEKINGE LÄN</t>
        </is>
      </c>
      <c r="G589" t="inlineStr">
        <is>
          <t>KARLSKRONA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12698-2022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44641</v>
      </c>
      <c r="E590" s="1" t="n">
        <v>46237</v>
      </c>
      <c r="F590" t="inlineStr">
        <is>
          <t>BLEKINGE LÄN</t>
        </is>
      </c>
      <c r="G590" t="inlineStr">
        <is>
          <t>KARLSKRONA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67336-2021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44523</v>
      </c>
      <c r="E591" s="1" t="n">
        <v>46237</v>
      </c>
      <c r="F591" t="inlineStr">
        <is>
          <t>BLEKINGE LÄN</t>
        </is>
      </c>
      <c r="G591" t="inlineStr">
        <is>
          <t>KARLSKRONA</t>
        </is>
      </c>
      <c r="I591" t="n">
        <v>13.4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45328</v>
      </c>
      <c r="E592" s="1" t="n">
        <v>46237</v>
      </c>
      <c r="F592" t="inlineStr">
        <is>
          <t>BLEKINGE LÄN</t>
        </is>
      </c>
      <c r="G592" t="inlineStr">
        <is>
          <t>KARLSKRONA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10629-2022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44624</v>
      </c>
      <c r="E593" s="1" t="n">
        <v>46237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45747</v>
      </c>
      <c r="E594" s="1" t="n">
        <v>46237</v>
      </c>
      <c r="F594" t="inlineStr">
        <is>
          <t>BLEKINGE LÄN</t>
        </is>
      </c>
      <c r="G594" t="inlineStr">
        <is>
          <t>KARLSKRONA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38392-2023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45162</v>
      </c>
      <c r="E595" s="1" t="n">
        <v>46237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45315</v>
      </c>
      <c r="E596" s="1" t="n">
        <v>46237</v>
      </c>
      <c r="F596" t="inlineStr">
        <is>
          <t>BLEKINGE LÄN</t>
        </is>
      </c>
      <c r="G596" t="inlineStr">
        <is>
          <t>KARLSKRONA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46237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72273-2021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44545</v>
      </c>
      <c r="E598" s="1" t="n">
        <v>46237</v>
      </c>
      <c r="F598" t="inlineStr">
        <is>
          <t>BLEKINGE LÄN</t>
        </is>
      </c>
      <c r="G598" t="inlineStr">
        <is>
          <t>KARLSKRONA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46237</v>
      </c>
      <c r="F599" t="inlineStr">
        <is>
          <t>BLEKINGE LÄN</t>
        </is>
      </c>
      <c r="G599" t="inlineStr">
        <is>
          <t>KARLSKRONA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46237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44799</v>
      </c>
      <c r="E601" s="1" t="n">
        <v>46237</v>
      </c>
      <c r="F601" t="inlineStr">
        <is>
          <t>BLEKINGE LÄN</t>
        </is>
      </c>
      <c r="G601" t="inlineStr">
        <is>
          <t>KARLSKRONA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52951-2024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45610</v>
      </c>
      <c r="E602" s="1" t="n">
        <v>46237</v>
      </c>
      <c r="F602" t="inlineStr">
        <is>
          <t>BLEKINGE LÄN</t>
        </is>
      </c>
      <c r="G602" t="inlineStr">
        <is>
          <t>KARLSKRONA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45085</v>
      </c>
      <c r="E603" s="1" t="n">
        <v>46237</v>
      </c>
      <c r="F603" t="inlineStr">
        <is>
          <t>BLEKINGE LÄN</t>
        </is>
      </c>
      <c r="G603" t="inlineStr">
        <is>
          <t>KARLSKRONA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46237</v>
      </c>
      <c r="F604" t="inlineStr">
        <is>
          <t>BLEKINGE LÄN</t>
        </is>
      </c>
      <c r="G604" t="inlineStr">
        <is>
          <t>KARLSKRONA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45082</v>
      </c>
      <c r="E605" s="1" t="n">
        <v>46237</v>
      </c>
      <c r="F605" t="inlineStr">
        <is>
          <t>BLEKINGE LÄN</t>
        </is>
      </c>
      <c r="G605" t="inlineStr">
        <is>
          <t>KARLSKRONA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46237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45366</v>
      </c>
      <c r="E607" s="1" t="n">
        <v>46237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46237</v>
      </c>
      <c r="F608" t="inlineStr">
        <is>
          <t>BLEKINGE LÄN</t>
        </is>
      </c>
      <c r="G608" t="inlineStr">
        <is>
          <t>KARLSKRONA</t>
        </is>
      </c>
      <c r="I608" t="n">
        <v>39.4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44586</v>
      </c>
      <c r="E609" s="1" t="n">
        <v>46237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29373-2024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45483</v>
      </c>
      <c r="E610" s="1" t="n">
        <v>46237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46237</v>
      </c>
      <c r="F611" t="inlineStr">
        <is>
          <t>BLEKINGE LÄN</t>
        </is>
      </c>
      <c r="G611" t="inlineStr">
        <is>
          <t>KARLSKRONA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46237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45170</v>
      </c>
      <c r="E613" s="1" t="n">
        <v>46237</v>
      </c>
      <c r="F613" t="inlineStr">
        <is>
          <t>BLEKINGE LÄN</t>
        </is>
      </c>
      <c r="G613" t="inlineStr">
        <is>
          <t>KARLSKRONA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45440-2023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46237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45095</v>
      </c>
      <c r="E615" s="1" t="n">
        <v>46237</v>
      </c>
      <c r="F615" t="inlineStr">
        <is>
          <t>BLEKINGE LÄN</t>
        </is>
      </c>
      <c r="G615" t="inlineStr">
        <is>
          <t>KARLSKRONA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46237</v>
      </c>
      <c r="F616" t="inlineStr">
        <is>
          <t>BLEKINGE LÄN</t>
        </is>
      </c>
      <c r="G616" t="inlineStr">
        <is>
          <t>KARLSKRONA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46237</v>
      </c>
      <c r="F617" t="inlineStr">
        <is>
          <t>BLEKINGE LÄN</t>
        </is>
      </c>
      <c r="G617" t="inlineStr">
        <is>
          <t>KARLSKRONA</t>
        </is>
      </c>
      <c r="H617" t="inlineStr">
        <is>
          <t>Kommuner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45118</v>
      </c>
      <c r="E618" s="1" t="n">
        <v>46237</v>
      </c>
      <c r="F618" t="inlineStr">
        <is>
          <t>BLEKINGE LÄN</t>
        </is>
      </c>
      <c r="G618" t="inlineStr">
        <is>
          <t>KARLSKRONA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45001</v>
      </c>
      <c r="E619" s="1" t="n">
        <v>46237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45643</v>
      </c>
      <c r="E620" s="1" t="n">
        <v>46237</v>
      </c>
      <c r="F620" t="inlineStr">
        <is>
          <t>BLEKINGE LÄN</t>
        </is>
      </c>
      <c r="G620" t="inlineStr">
        <is>
          <t>KARLSKRONA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44754</v>
      </c>
      <c r="E621" s="1" t="n">
        <v>46237</v>
      </c>
      <c r="F621" t="inlineStr">
        <is>
          <t>BLEKINGE LÄN</t>
        </is>
      </c>
      <c r="G621" t="inlineStr">
        <is>
          <t>KARLSKRONA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43820-2024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45571</v>
      </c>
      <c r="E622" s="1" t="n">
        <v>46237</v>
      </c>
      <c r="F622" t="inlineStr">
        <is>
          <t>BLEKINGE LÄN</t>
        </is>
      </c>
      <c r="G622" t="inlineStr">
        <is>
          <t>KARLSKRONA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45007</v>
      </c>
      <c r="E623" s="1" t="n">
        <v>46237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45062</v>
      </c>
      <c r="E624" s="1" t="n">
        <v>46237</v>
      </c>
      <c r="F624" t="inlineStr">
        <is>
          <t>BLEKINGE LÄN</t>
        </is>
      </c>
      <c r="G624" t="inlineStr">
        <is>
          <t>KARLSKRONA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46027-2023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45196</v>
      </c>
      <c r="E625" s="1" t="n">
        <v>46237</v>
      </c>
      <c r="F625" t="inlineStr">
        <is>
          <t>BLEKINGE LÄN</t>
        </is>
      </c>
      <c r="G625" t="inlineStr">
        <is>
          <t>KARLSKRONA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46237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45727</v>
      </c>
      <c r="E627" s="1" t="n">
        <v>46237</v>
      </c>
      <c r="F627" t="inlineStr">
        <is>
          <t>BLEKINGE LÄN</t>
        </is>
      </c>
      <c r="G627" t="inlineStr">
        <is>
          <t>KARLSKRONA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46237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46237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46237</v>
      </c>
      <c r="F630" t="inlineStr">
        <is>
          <t>BLEKINGE LÄN</t>
        </is>
      </c>
      <c r="G630" t="inlineStr">
        <is>
          <t>KARLSKRONA</t>
        </is>
      </c>
      <c r="H630" t="inlineStr">
        <is>
          <t>Kommuner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45631</v>
      </c>
      <c r="E631" s="1" t="n">
        <v>46237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46237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58159-2023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45250</v>
      </c>
      <c r="E633" s="1" t="n">
        <v>46237</v>
      </c>
      <c r="F633" t="inlineStr">
        <is>
          <t>BLEKINGE LÄN</t>
        </is>
      </c>
      <c r="G633" t="inlineStr">
        <is>
          <t>KARLSKRONA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46237</v>
      </c>
      <c r="F634" t="inlineStr">
        <is>
          <t>BLEKINGE LÄN</t>
        </is>
      </c>
      <c r="G634" t="inlineStr">
        <is>
          <t>KARLSKRONA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44725</v>
      </c>
      <c r="E635" s="1" t="n">
        <v>46237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46237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44706</v>
      </c>
      <c r="E637" s="1" t="n">
        <v>46237</v>
      </c>
      <c r="F637" t="inlineStr">
        <is>
          <t>BLEKINGE LÄN</t>
        </is>
      </c>
      <c r="G637" t="inlineStr">
        <is>
          <t>KARLSKRONA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46237</v>
      </c>
      <c r="F638" t="inlineStr">
        <is>
          <t>BLEKINGE LÄN</t>
        </is>
      </c>
      <c r="G638" t="inlineStr">
        <is>
          <t>KARLSKRONA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45698</v>
      </c>
      <c r="E639" s="1" t="n">
        <v>46237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18124-2025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45761</v>
      </c>
      <c r="E640" s="1" t="n">
        <v>46237</v>
      </c>
      <c r="F640" t="inlineStr">
        <is>
          <t>BLEKINGE LÄN</t>
        </is>
      </c>
      <c r="G640" t="inlineStr">
        <is>
          <t>KARLSKRONA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49093-2023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46237</v>
      </c>
      <c r="F641" t="inlineStr">
        <is>
          <t>BLEKINGE LÄN</t>
        </is>
      </c>
      <c r="G641" t="inlineStr">
        <is>
          <t>KARLSKRONA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46237</v>
      </c>
      <c r="F642" t="inlineStr">
        <is>
          <t>BLEKINGE LÄN</t>
        </is>
      </c>
      <c r="G642" t="inlineStr">
        <is>
          <t>KARLSKRONA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45531</v>
      </c>
      <c r="E643" s="1" t="n">
        <v>46237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45194</v>
      </c>
      <c r="E644" s="1" t="n">
        <v>46237</v>
      </c>
      <c r="F644" t="inlineStr">
        <is>
          <t>BLEKINGE LÄN</t>
        </is>
      </c>
      <c r="G644" t="inlineStr">
        <is>
          <t>KARLSKRONA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45503-2024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45578</v>
      </c>
      <c r="E645" s="1" t="n">
        <v>46237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45695</v>
      </c>
      <c r="E646" s="1" t="n">
        <v>46237</v>
      </c>
      <c r="F646" t="inlineStr">
        <is>
          <t>BLEKINGE LÄN</t>
        </is>
      </c>
      <c r="G646" t="inlineStr">
        <is>
          <t>KARLSKRONA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39381-2023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46237</v>
      </c>
      <c r="F647" t="inlineStr">
        <is>
          <t>BLEKINGE LÄN</t>
        </is>
      </c>
      <c r="G647" t="inlineStr">
        <is>
          <t>KARLSKRONA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40936-2023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45173</v>
      </c>
      <c r="E648" s="1" t="n">
        <v>46237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44616</v>
      </c>
      <c r="E649" s="1" t="n">
        <v>46237</v>
      </c>
      <c r="F649" t="inlineStr">
        <is>
          <t>BLEKINGE LÄN</t>
        </is>
      </c>
      <c r="G649" t="inlineStr">
        <is>
          <t>KARLSKRONA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45495</v>
      </c>
      <c r="E650" s="1" t="n">
        <v>46237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50354-2024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45600</v>
      </c>
      <c r="E651" s="1" t="n">
        <v>46237</v>
      </c>
      <c r="F651" t="inlineStr">
        <is>
          <t>BLEKINGE LÄN</t>
        </is>
      </c>
      <c r="G651" t="inlineStr">
        <is>
          <t>KARLSKRONA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46237</v>
      </c>
      <c r="F652" t="inlineStr">
        <is>
          <t>BLEKINGE LÄN</t>
        </is>
      </c>
      <c r="G652" t="inlineStr">
        <is>
          <t>KARLSKRONA</t>
        </is>
      </c>
      <c r="H652" t="inlineStr">
        <is>
          <t>Kommuner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44728</v>
      </c>
      <c r="E653" s="1" t="n">
        <v>46237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45697</v>
      </c>
      <c r="E654" s="1" t="n">
        <v>46237</v>
      </c>
      <c r="F654" t="inlineStr">
        <is>
          <t>BLEKINGE LÄN</t>
        </is>
      </c>
      <c r="G654" t="inlineStr">
        <is>
          <t>KARLSKRONA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27481-2022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44742</v>
      </c>
      <c r="E655" s="1" t="n">
        <v>46237</v>
      </c>
      <c r="F655" t="inlineStr">
        <is>
          <t>BLEKINGE LÄN</t>
        </is>
      </c>
      <c r="G655" t="inlineStr">
        <is>
          <t>KARLSKRONA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45342</v>
      </c>
      <c r="E656" s="1" t="n">
        <v>46237</v>
      </c>
      <c r="F656" t="inlineStr">
        <is>
          <t>BLEKINGE LÄN</t>
        </is>
      </c>
      <c r="G656" t="inlineStr">
        <is>
          <t>KARLSKRONA</t>
        </is>
      </c>
      <c r="I656" t="n">
        <v>6.7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44809</v>
      </c>
      <c r="E657" s="1" t="n">
        <v>46237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39121-2023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45165</v>
      </c>
      <c r="E658" s="1" t="n">
        <v>46237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52701-2023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46237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46237</v>
      </c>
      <c r="F660" t="inlineStr">
        <is>
          <t>BLEKINGE LÄN</t>
        </is>
      </c>
      <c r="G660" t="inlineStr">
        <is>
          <t>KARLSKRONA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46237</v>
      </c>
      <c r="F661" t="inlineStr">
        <is>
          <t>BLEKINGE LÄN</t>
        </is>
      </c>
      <c r="G661" t="inlineStr">
        <is>
          <t>KARLSKRONA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46113</v>
      </c>
      <c r="E662" s="1" t="n">
        <v>46237</v>
      </c>
      <c r="F662" t="inlineStr">
        <is>
          <t>BLEKINGE LÄN</t>
        </is>
      </c>
      <c r="G662" t="inlineStr">
        <is>
          <t>KARLSKRONA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46237</v>
      </c>
      <c r="F663" t="inlineStr">
        <is>
          <t>BLEKINGE LÄN</t>
        </is>
      </c>
      <c r="G663" t="inlineStr">
        <is>
          <t>KARLSKRONA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46237</v>
      </c>
      <c r="F664" t="inlineStr">
        <is>
          <t>BLEKINGE LÄN</t>
        </is>
      </c>
      <c r="G664" t="inlineStr">
        <is>
          <t>KARLSKRONA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46237</v>
      </c>
      <c r="F665" t="inlineStr">
        <is>
          <t>BLEKINGE LÄN</t>
        </is>
      </c>
      <c r="G665" t="inlineStr">
        <is>
          <t>KARLSKRONA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16753-2026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46113</v>
      </c>
      <c r="E666" s="1" t="n">
        <v>46237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46237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23104-2023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45075</v>
      </c>
      <c r="E668" s="1" t="n">
        <v>46237</v>
      </c>
      <c r="F668" t="inlineStr">
        <is>
          <t>BLEKINGE LÄN</t>
        </is>
      </c>
      <c r="G668" t="inlineStr">
        <is>
          <t>KARLSKRONA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45538</v>
      </c>
      <c r="E669" s="1" t="n">
        <v>46237</v>
      </c>
      <c r="F669" t="inlineStr">
        <is>
          <t>BLEKINGE LÄN</t>
        </is>
      </c>
      <c r="G669" t="inlineStr">
        <is>
          <t>KARLSKRONA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45604</v>
      </c>
      <c r="E670" s="1" t="n">
        <v>46237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46237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44711</v>
      </c>
      <c r="E672" s="1" t="n">
        <v>46237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16745-2026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46113</v>
      </c>
      <c r="E673" s="1" t="n">
        <v>46237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16747-2026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46113</v>
      </c>
      <c r="E674" s="1" t="n">
        <v>46237</v>
      </c>
      <c r="F674" t="inlineStr">
        <is>
          <t>BLEKINGE LÄN</t>
        </is>
      </c>
      <c r="G674" t="inlineStr">
        <is>
          <t>KARLSKRONA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55270-2024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46237</v>
      </c>
      <c r="F675" t="inlineStr">
        <is>
          <t>BLEKINGE LÄN</t>
        </is>
      </c>
      <c r="G675" t="inlineStr">
        <is>
          <t>KARLSKRONA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45555</v>
      </c>
      <c r="E676" s="1" t="n">
        <v>46237</v>
      </c>
      <c r="F676" t="inlineStr">
        <is>
          <t>BLEKINGE LÄN</t>
        </is>
      </c>
      <c r="G676" t="inlineStr">
        <is>
          <t>KARLSKRONA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45075</v>
      </c>
      <c r="E677" s="1" t="n">
        <v>46237</v>
      </c>
      <c r="F677" t="inlineStr">
        <is>
          <t>BLEKINGE LÄN</t>
        </is>
      </c>
      <c r="G677" t="inlineStr">
        <is>
          <t>KARLSKRONA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45344</v>
      </c>
      <c r="E678" s="1" t="n">
        <v>46237</v>
      </c>
      <c r="F678" t="inlineStr">
        <is>
          <t>BLEKINGE LÄN</t>
        </is>
      </c>
      <c r="G678" t="inlineStr">
        <is>
          <t>KARLSKRONA</t>
        </is>
      </c>
      <c r="H678" t="inlineStr">
        <is>
          <t>Kommuner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45372</v>
      </c>
      <c r="E679" s="1" t="n">
        <v>46237</v>
      </c>
      <c r="F679" t="inlineStr">
        <is>
          <t>BLEKINGE LÄN</t>
        </is>
      </c>
      <c r="G679" t="inlineStr">
        <is>
          <t>KARLSKRONA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45499</v>
      </c>
      <c r="E680" s="1" t="n">
        <v>46237</v>
      </c>
      <c r="F680" t="inlineStr">
        <is>
          <t>BLEKINGE LÄN</t>
        </is>
      </c>
      <c r="G680" t="inlineStr">
        <is>
          <t>KARLSKRONA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30660-2024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45495</v>
      </c>
      <c r="E681" s="1" t="n">
        <v>46237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48975-2024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46237</v>
      </c>
      <c r="F682" t="inlineStr">
        <is>
          <t>BLEKINGE LÄN</t>
        </is>
      </c>
      <c r="G682" t="inlineStr">
        <is>
          <t>KARLSKRONA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45573</v>
      </c>
      <c r="E683" s="1" t="n">
        <v>46237</v>
      </c>
      <c r="F683" t="inlineStr">
        <is>
          <t>BLEKINGE LÄN</t>
        </is>
      </c>
      <c r="G683" t="inlineStr">
        <is>
          <t>KARLSKRONA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44757</v>
      </c>
      <c r="E684" s="1" t="n">
        <v>46237</v>
      </c>
      <c r="F684" t="inlineStr">
        <is>
          <t>BLEKINGE LÄN</t>
        </is>
      </c>
      <c r="G684" t="inlineStr">
        <is>
          <t>KARLSKRONA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44631</v>
      </c>
      <c r="E685" s="1" t="n">
        <v>46237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46237</v>
      </c>
      <c r="F686" t="inlineStr">
        <is>
          <t>BLEKINGE LÄN</t>
        </is>
      </c>
      <c r="G686" t="inlineStr">
        <is>
          <t>KARLSKRONA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55374-2023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45238</v>
      </c>
      <c r="E687" s="1" t="n">
        <v>46237</v>
      </c>
      <c r="F687" t="inlineStr">
        <is>
          <t>BLEKINGE LÄN</t>
        </is>
      </c>
      <c r="G687" t="inlineStr">
        <is>
          <t>KARLSKRONA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45463</v>
      </c>
      <c r="E688" s="1" t="n">
        <v>46237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25458-2024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45463</v>
      </c>
      <c r="E689" s="1" t="n">
        <v>46237</v>
      </c>
      <c r="F689" t="inlineStr">
        <is>
          <t>BLEKINGE LÄN</t>
        </is>
      </c>
      <c r="G689" t="inlineStr">
        <is>
          <t>KARLSKRONA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45387</v>
      </c>
      <c r="E690" s="1" t="n">
        <v>46237</v>
      </c>
      <c r="F690" t="inlineStr">
        <is>
          <t>BLEKINGE LÄN</t>
        </is>
      </c>
      <c r="G690" t="inlineStr">
        <is>
          <t>KARLSKRONA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45783</v>
      </c>
      <c r="E691" s="1" t="n">
        <v>46237</v>
      </c>
      <c r="F691" t="inlineStr">
        <is>
          <t>BLEKINGE LÄN</t>
        </is>
      </c>
      <c r="G691" t="inlineStr">
        <is>
          <t>KARLSKRONA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46237</v>
      </c>
      <c r="F692" t="inlineStr">
        <is>
          <t>BLEKINGE LÄN</t>
        </is>
      </c>
      <c r="G692" t="inlineStr">
        <is>
          <t>KARLSKRONA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45540</v>
      </c>
      <c r="E693" s="1" t="n">
        <v>46237</v>
      </c>
      <c r="F693" t="inlineStr">
        <is>
          <t>BLEKINGE LÄN</t>
        </is>
      </c>
      <c r="G693" t="inlineStr">
        <is>
          <t>KARLSKRONA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45238</v>
      </c>
      <c r="E694" s="1" t="n">
        <v>46237</v>
      </c>
      <c r="F694" t="inlineStr">
        <is>
          <t>BLEKINGE LÄN</t>
        </is>
      </c>
      <c r="G694" t="inlineStr">
        <is>
          <t>KARLSKRONA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12827-2024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45384</v>
      </c>
      <c r="E695" s="1" t="n">
        <v>46237</v>
      </c>
      <c r="F695" t="inlineStr">
        <is>
          <t>BLEKINGE LÄN</t>
        </is>
      </c>
      <c r="G695" t="inlineStr">
        <is>
          <t>KARLSKRONA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42323-2023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45180</v>
      </c>
      <c r="E696" s="1" t="n">
        <v>46237</v>
      </c>
      <c r="F696" t="inlineStr">
        <is>
          <t>BLEKINGE LÄN</t>
        </is>
      </c>
      <c r="G696" t="inlineStr">
        <is>
          <t>KARLSKRONA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40074-2022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46237</v>
      </c>
      <c r="F697" t="inlineStr">
        <is>
          <t>BLEKINGE LÄN</t>
        </is>
      </c>
      <c r="G697" t="inlineStr">
        <is>
          <t>KARLSKRONA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44722</v>
      </c>
      <c r="E698" s="1" t="n">
        <v>46237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56340-2024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46237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45714</v>
      </c>
      <c r="E700" s="1" t="n">
        <v>46237</v>
      </c>
      <c r="F700" t="inlineStr">
        <is>
          <t>BLEKINGE LÄN</t>
        </is>
      </c>
      <c r="G700" t="inlineStr">
        <is>
          <t>KARLSKRONA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46237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45783</v>
      </c>
      <c r="E702" s="1" t="n">
        <v>46237</v>
      </c>
      <c r="F702" t="inlineStr">
        <is>
          <t>BLEKINGE LÄN</t>
        </is>
      </c>
      <c r="G702" t="inlineStr">
        <is>
          <t>KARLSKRONA</t>
        </is>
      </c>
      <c r="I702" t="n">
        <v>11.5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57830-2024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45631</v>
      </c>
      <c r="E703" s="1" t="n">
        <v>46237</v>
      </c>
      <c r="F703" t="inlineStr">
        <is>
          <t>BLEKINGE LÄN</t>
        </is>
      </c>
      <c r="G703" t="inlineStr">
        <is>
          <t>KARLSKRONA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46237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44930</v>
      </c>
      <c r="E705" s="1" t="n">
        <v>46237</v>
      </c>
      <c r="F705" t="inlineStr">
        <is>
          <t>BLEKINGE LÄN</t>
        </is>
      </c>
      <c r="G705" t="inlineStr">
        <is>
          <t>KARLSKRONA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10226-2024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45365</v>
      </c>
      <c r="E706" s="1" t="n">
        <v>46237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45917</v>
      </c>
      <c r="E707" s="1" t="n">
        <v>46237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57646-2024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45630</v>
      </c>
      <c r="E708" s="1" t="n">
        <v>46237</v>
      </c>
      <c r="F708" t="inlineStr">
        <is>
          <t>BLEKINGE LÄN</t>
        </is>
      </c>
      <c r="G708" t="inlineStr">
        <is>
          <t>KARLSKRONA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45532</v>
      </c>
      <c r="E709" s="1" t="n">
        <v>46237</v>
      </c>
      <c r="F709" t="inlineStr">
        <is>
          <t>BLEKINGE LÄN</t>
        </is>
      </c>
      <c r="G709" t="inlineStr">
        <is>
          <t>KARLSKRONA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40041-2025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46237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43595-2025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45911</v>
      </c>
      <c r="E711" s="1" t="n">
        <v>46237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45711-2025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45923</v>
      </c>
      <c r="E712" s="1" t="n">
        <v>46237</v>
      </c>
      <c r="F712" t="inlineStr">
        <is>
          <t>BLEKINGE LÄN</t>
        </is>
      </c>
      <c r="G712" t="inlineStr">
        <is>
          <t>KARLSKRONA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58402-2025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46237</v>
      </c>
      <c r="F713" t="inlineStr">
        <is>
          <t>BLEKINGE LÄN</t>
        </is>
      </c>
      <c r="G713" t="inlineStr">
        <is>
          <t>KARLSKRONA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23464-2024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45453</v>
      </c>
      <c r="E714" s="1" t="n">
        <v>46237</v>
      </c>
      <c r="F714" t="inlineStr">
        <is>
          <t>BLEKINGE LÄN</t>
        </is>
      </c>
      <c r="G714" t="inlineStr">
        <is>
          <t>KARLSKRONA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22262-2025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45785</v>
      </c>
      <c r="E715" s="1" t="n">
        <v>46237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45361</v>
      </c>
      <c r="E716" s="1" t="n">
        <v>46237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49693-2022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44862</v>
      </c>
      <c r="E717" s="1" t="n">
        <v>46237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46237</v>
      </c>
      <c r="F718" t="inlineStr">
        <is>
          <t>BLEKINGE LÄN</t>
        </is>
      </c>
      <c r="G718" t="inlineStr">
        <is>
          <t>KARLSKRONA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46237</v>
      </c>
      <c r="F719" t="inlineStr">
        <is>
          <t>BLEKINGE LÄN</t>
        </is>
      </c>
      <c r="G719" t="inlineStr">
        <is>
          <t>KARLSKRONA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46237</v>
      </c>
      <c r="F720" t="inlineStr">
        <is>
          <t>BLEKINGE LÄN</t>
        </is>
      </c>
      <c r="G720" t="inlineStr">
        <is>
          <t>KARLSKRONA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55057-2022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44886</v>
      </c>
      <c r="E721" s="1" t="n">
        <v>46237</v>
      </c>
      <c r="F721" t="inlineStr">
        <is>
          <t>BLEKINGE LÄN</t>
        </is>
      </c>
      <c r="G721" t="inlineStr">
        <is>
          <t>KARLSKRONA</t>
        </is>
      </c>
      <c r="I721" t="n">
        <v>16.8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46237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55113-2025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46237</v>
      </c>
      <c r="F723" t="inlineStr">
        <is>
          <t>BLEKINGE LÄN</t>
        </is>
      </c>
      <c r="G723" t="inlineStr">
        <is>
          <t>KARLSKRONA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45784</v>
      </c>
      <c r="E724" s="1" t="n">
        <v>46237</v>
      </c>
      <c r="F724" t="inlineStr">
        <is>
          <t>BLEKINGE LÄN</t>
        </is>
      </c>
      <c r="G724" t="inlineStr">
        <is>
          <t>KARLSKRONA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44173-2025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46237</v>
      </c>
      <c r="F725" t="inlineStr">
        <is>
          <t>BLEKINGE LÄN</t>
        </is>
      </c>
      <c r="G725" t="inlineStr">
        <is>
          <t>KARLSKRONA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46237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46237</v>
      </c>
      <c r="F727" t="inlineStr">
        <is>
          <t>BLEKINGE LÄN</t>
        </is>
      </c>
      <c r="G727" t="inlineStr">
        <is>
          <t>KARLSKRONA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3115-2023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44946</v>
      </c>
      <c r="E728" s="1" t="n">
        <v>46237</v>
      </c>
      <c r="F728" t="inlineStr">
        <is>
          <t>BLEKINGE LÄN</t>
        </is>
      </c>
      <c r="G728" t="inlineStr">
        <is>
          <t>KARLSKRONA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45348</v>
      </c>
      <c r="E729" s="1" t="n">
        <v>46237</v>
      </c>
      <c r="F729" t="inlineStr">
        <is>
          <t>BLEKINGE LÄN</t>
        </is>
      </c>
      <c r="G729" t="inlineStr">
        <is>
          <t>KARLSKRONA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46237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42437-2025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45905</v>
      </c>
      <c r="E731" s="1" t="n">
        <v>46237</v>
      </c>
      <c r="F731" t="inlineStr">
        <is>
          <t>BLEKINGE LÄN</t>
        </is>
      </c>
      <c r="G731" t="inlineStr">
        <is>
          <t>KARLSKRONA</t>
        </is>
      </c>
      <c r="H731" t="inlineStr">
        <is>
          <t>Kommuner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46901-2022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44851</v>
      </c>
      <c r="E732" s="1" t="n">
        <v>46237</v>
      </c>
      <c r="F732" t="inlineStr">
        <is>
          <t>BLEKINGE LÄN</t>
        </is>
      </c>
      <c r="G732" t="inlineStr">
        <is>
          <t>KARLSKRONA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44753</v>
      </c>
      <c r="E733" s="1" t="n">
        <v>46237</v>
      </c>
      <c r="F733" t="inlineStr">
        <is>
          <t>BLEKINGE LÄN</t>
        </is>
      </c>
      <c r="G733" t="inlineStr">
        <is>
          <t>KARLSKRONA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45309</v>
      </c>
      <c r="E734" s="1" t="n">
        <v>46237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63981-2023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45278</v>
      </c>
      <c r="E735" s="1" t="n">
        <v>46237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9281-2024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45358</v>
      </c>
      <c r="E736" s="1" t="n">
        <v>46237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45880</v>
      </c>
      <c r="E737" s="1" t="n">
        <v>46237</v>
      </c>
      <c r="F737" t="inlineStr">
        <is>
          <t>BLEKINGE LÄN</t>
        </is>
      </c>
      <c r="G737" t="inlineStr">
        <is>
          <t>KARLSKRONA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44445</v>
      </c>
      <c r="E738" s="1" t="n">
        <v>46237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45019</v>
      </c>
      <c r="E739" s="1" t="n">
        <v>46237</v>
      </c>
      <c r="F739" t="inlineStr">
        <is>
          <t>BLEKINGE LÄN</t>
        </is>
      </c>
      <c r="G739" t="inlineStr">
        <is>
          <t>KARLSKRONA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62025-2024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45656</v>
      </c>
      <c r="E740" s="1" t="n">
        <v>46237</v>
      </c>
      <c r="F740" t="inlineStr">
        <is>
          <t>BLEKINGE LÄN</t>
        </is>
      </c>
      <c r="G740" t="inlineStr">
        <is>
          <t>KARLSKRONA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45159</v>
      </c>
      <c r="E741" s="1" t="n">
        <v>46237</v>
      </c>
      <c r="F741" t="inlineStr">
        <is>
          <t>BLEKINGE LÄN</t>
        </is>
      </c>
      <c r="G741" t="inlineStr">
        <is>
          <t>KARLSKRONA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44874</v>
      </c>
      <c r="E742" s="1" t="n">
        <v>46237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45166</v>
      </c>
      <c r="E743" s="1" t="n">
        <v>46237</v>
      </c>
      <c r="F743" t="inlineStr">
        <is>
          <t>BLEKINGE LÄN</t>
        </is>
      </c>
      <c r="G743" t="inlineStr">
        <is>
          <t>KARLSKRONA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46237</v>
      </c>
      <c r="F744" t="inlineStr">
        <is>
          <t>BLEKINGE LÄN</t>
        </is>
      </c>
      <c r="G744" t="inlineStr">
        <is>
          <t>KARLSKRONA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60538-2021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44496</v>
      </c>
      <c r="E745" s="1" t="n">
        <v>46237</v>
      </c>
      <c r="F745" t="inlineStr">
        <is>
          <t>BLEKINGE LÄN</t>
        </is>
      </c>
      <c r="G745" t="inlineStr">
        <is>
          <t>KARLSKRONA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16639-2022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44672</v>
      </c>
      <c r="E746" s="1" t="n">
        <v>46237</v>
      </c>
      <c r="F746" t="inlineStr">
        <is>
          <t>BLEKINGE LÄN</t>
        </is>
      </c>
      <c r="G746" t="inlineStr">
        <is>
          <t>KARLSKRONA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12180-2022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44636</v>
      </c>
      <c r="E747" s="1" t="n">
        <v>46237</v>
      </c>
      <c r="F747" t="inlineStr">
        <is>
          <t>BLEKINGE LÄN</t>
        </is>
      </c>
      <c r="G747" t="inlineStr">
        <is>
          <t>KARLSKRONA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44585</v>
      </c>
      <c r="E748" s="1" t="n">
        <v>46237</v>
      </c>
      <c r="F748" t="inlineStr">
        <is>
          <t>BLEKINGE LÄN</t>
        </is>
      </c>
      <c r="G748" t="inlineStr">
        <is>
          <t>KARLSKRONA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45140</v>
      </c>
      <c r="E749" s="1" t="n">
        <v>46237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23072-2023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45070</v>
      </c>
      <c r="E750" s="1" t="n">
        <v>46237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46237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45301</v>
      </c>
      <c r="E752" s="1" t="n">
        <v>46237</v>
      </c>
      <c r="F752" t="inlineStr">
        <is>
          <t>BLEKINGE LÄN</t>
        </is>
      </c>
      <c r="G752" t="inlineStr">
        <is>
          <t>KARLSKRONA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45344</v>
      </c>
      <c r="E753" s="1" t="n">
        <v>46237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46237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50015-2023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45215</v>
      </c>
      <c r="E755" s="1" t="n">
        <v>46237</v>
      </c>
      <c r="F755" t="inlineStr">
        <is>
          <t>BLEKINGE LÄN</t>
        </is>
      </c>
      <c r="G755" t="inlineStr">
        <is>
          <t>KARLSKRONA</t>
        </is>
      </c>
      <c r="I755" t="n">
        <v>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45796</v>
      </c>
      <c r="E756" s="1" t="n">
        <v>46237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45089</v>
      </c>
      <c r="E757" s="1" t="n">
        <v>46237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44893</v>
      </c>
      <c r="E758" s="1" t="n">
        <v>46237</v>
      </c>
      <c r="F758" t="inlineStr">
        <is>
          <t>BLEKINGE LÄN</t>
        </is>
      </c>
      <c r="G758" t="inlineStr">
        <is>
          <t>KARLSKRONA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65798-2021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44517</v>
      </c>
      <c r="E759" s="1" t="n">
        <v>46237</v>
      </c>
      <c r="F759" t="inlineStr">
        <is>
          <t>BLEKINGE LÄN</t>
        </is>
      </c>
      <c r="G759" t="inlineStr">
        <is>
          <t>KARLSKRONA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52810-2024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46237</v>
      </c>
      <c r="F760" t="inlineStr">
        <is>
          <t>BLEKINGE LÄN</t>
        </is>
      </c>
      <c r="G760" t="inlineStr">
        <is>
          <t>KARLSKRONA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8197-2024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45351</v>
      </c>
      <c r="E761" s="1" t="n">
        <v>46237</v>
      </c>
      <c r="F761" t="inlineStr">
        <is>
          <t>BLEKINGE LÄN</t>
        </is>
      </c>
      <c r="G761" t="inlineStr">
        <is>
          <t>KARLSKRONA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71708-2021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44543</v>
      </c>
      <c r="E762" s="1" t="n">
        <v>46237</v>
      </c>
      <c r="F762" t="inlineStr">
        <is>
          <t>BLEKINGE LÄN</t>
        </is>
      </c>
      <c r="G762" t="inlineStr">
        <is>
          <t>KARLSKRONA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46237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46237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7066-2022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44603</v>
      </c>
      <c r="E765" s="1" t="n">
        <v>46237</v>
      </c>
      <c r="F765" t="inlineStr">
        <is>
          <t>BLEKINGE LÄN</t>
        </is>
      </c>
      <c r="G765" t="inlineStr">
        <is>
          <t>KARLSKRONA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45581</v>
      </c>
      <c r="E766" s="1" t="n">
        <v>46237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46237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5543-2025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45693</v>
      </c>
      <c r="E768" s="1" t="n">
        <v>46237</v>
      </c>
      <c r="F768" t="inlineStr">
        <is>
          <t>BLEKINGE LÄN</t>
        </is>
      </c>
      <c r="G768" t="inlineStr">
        <is>
          <t>KARLSKRONA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46237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14511-2023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45012</v>
      </c>
      <c r="E770" s="1" t="n">
        <v>46237</v>
      </c>
      <c r="F770" t="inlineStr">
        <is>
          <t>BLEKINGE LÄN</t>
        </is>
      </c>
      <c r="G770" t="inlineStr">
        <is>
          <t>KARLSKRONA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46237</v>
      </c>
      <c r="F771" t="inlineStr">
        <is>
          <t>BLEKINGE LÄN</t>
        </is>
      </c>
      <c r="G771" t="inlineStr">
        <is>
          <t>KARLSKRONA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36582-2024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45537</v>
      </c>
      <c r="E772" s="1" t="n">
        <v>46237</v>
      </c>
      <c r="F772" t="inlineStr">
        <is>
          <t>BLEKINGE LÄN</t>
        </is>
      </c>
      <c r="G772" t="inlineStr">
        <is>
          <t>KARLSKRONA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29935-2025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45826</v>
      </c>
      <c r="E773" s="1" t="n">
        <v>46237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46237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59707-2023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45256</v>
      </c>
      <c r="E775" s="1" t="n">
        <v>46237</v>
      </c>
      <c r="F775" t="inlineStr">
        <is>
          <t>BLEKINGE LÄN</t>
        </is>
      </c>
      <c r="G775" t="inlineStr">
        <is>
          <t>KARLSKRONA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46237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32680-2025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45838</v>
      </c>
      <c r="E777" s="1" t="n">
        <v>46237</v>
      </c>
      <c r="F777" t="inlineStr">
        <is>
          <t>BLEKINGE LÄN</t>
        </is>
      </c>
      <c r="G777" t="inlineStr">
        <is>
          <t>KARLSKRONA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45711</v>
      </c>
      <c r="E778" s="1" t="n">
        <v>46237</v>
      </c>
      <c r="F778" t="inlineStr">
        <is>
          <t>BLEKINGE LÄN</t>
        </is>
      </c>
      <c r="G778" t="inlineStr">
        <is>
          <t>KARLSKRONA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45695</v>
      </c>
      <c r="E779" s="1" t="n">
        <v>46237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45812</v>
      </c>
      <c r="E780" s="1" t="n">
        <v>46237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45735</v>
      </c>
      <c r="E781" s="1" t="n">
        <v>46237</v>
      </c>
      <c r="F781" t="inlineStr">
        <is>
          <t>BLEKINGE LÄN</t>
        </is>
      </c>
      <c r="G781" t="inlineStr">
        <is>
          <t>KARLSKRONA</t>
        </is>
      </c>
      <c r="I781" t="n">
        <v>11.8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46237</v>
      </c>
      <c r="F782" t="inlineStr">
        <is>
          <t>BLEKINGE LÄN</t>
        </is>
      </c>
      <c r="G782" t="inlineStr">
        <is>
          <t>KARLSKRONA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50846-2024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45602</v>
      </c>
      <c r="E783" s="1" t="n">
        <v>46237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46237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46237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46237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46237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46237</v>
      </c>
      <c r="F788" t="inlineStr">
        <is>
          <t>BLEKINGE LÄN</t>
        </is>
      </c>
      <c r="G788" t="inlineStr">
        <is>
          <t>KARLSKRONA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46237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2103-2020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44110</v>
      </c>
      <c r="E790" s="1" t="n">
        <v>46237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46237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46237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46237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4166-2023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45250</v>
      </c>
      <c r="E794" s="1" t="n">
        <v>46237</v>
      </c>
      <c r="F794" t="inlineStr">
        <is>
          <t>BLEKINGE LÄN</t>
        </is>
      </c>
      <c r="G794" t="inlineStr">
        <is>
          <t>KARLSKRONA</t>
        </is>
      </c>
      <c r="I794" t="n">
        <v>19.9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427-2023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44960</v>
      </c>
      <c r="E795" s="1" t="n">
        <v>46237</v>
      </c>
      <c r="F795" t="inlineStr">
        <is>
          <t>BLEKINGE LÄN</t>
        </is>
      </c>
      <c r="G795" t="inlineStr">
        <is>
          <t>KARLSKRONA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46237</v>
      </c>
      <c r="F796" t="inlineStr">
        <is>
          <t>BLEKINGE LÄN</t>
        </is>
      </c>
      <c r="G796" t="inlineStr">
        <is>
          <t>KARLSKRONA</t>
        </is>
      </c>
      <c r="I796" t="n">
        <v>50.2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763-2023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44981</v>
      </c>
      <c r="E797" s="1" t="n">
        <v>46237</v>
      </c>
      <c r="F797" t="inlineStr">
        <is>
          <t>BLEKINGE LÄN</t>
        </is>
      </c>
      <c r="G797" t="inlineStr">
        <is>
          <t>KARLSKRONA</t>
        </is>
      </c>
      <c r="I797" t="n">
        <v>30.4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865-2024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45373</v>
      </c>
      <c r="E798" s="1" t="n">
        <v>46237</v>
      </c>
      <c r="F798" t="inlineStr">
        <is>
          <t>BLEKINGE LÄN</t>
        </is>
      </c>
      <c r="G798" t="inlineStr">
        <is>
          <t>KARLSKRONA</t>
        </is>
      </c>
      <c r="I798" t="n">
        <v>16.7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372-2023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46237</v>
      </c>
      <c r="F799" t="inlineStr">
        <is>
          <t>BLEKINGE LÄN</t>
        </is>
      </c>
      <c r="G799" t="inlineStr">
        <is>
          <t>KARLSKRONA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624-2023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44972</v>
      </c>
      <c r="E800" s="1" t="n">
        <v>46237</v>
      </c>
      <c r="F800" t="inlineStr">
        <is>
          <t>BLEKINGE LÄN</t>
        </is>
      </c>
      <c r="G800" t="inlineStr">
        <is>
          <t>KARLSKRONA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2710-2023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45155</v>
      </c>
      <c r="E801" s="1" t="n">
        <v>46237</v>
      </c>
      <c r="F801" t="inlineStr">
        <is>
          <t>BLEKINGE LÄN</t>
        </is>
      </c>
      <c r="G801" t="inlineStr">
        <is>
          <t>KARLSKRONA</t>
        </is>
      </c>
      <c r="I801" t="n">
        <v>32.9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4796-2024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45611</v>
      </c>
      <c r="E802" s="1" t="n">
        <v>46237</v>
      </c>
      <c r="F802" t="inlineStr">
        <is>
          <t>BLEKINGE LÄN</t>
        </is>
      </c>
      <c r="G802" t="inlineStr">
        <is>
          <t>KARLSKRONA</t>
        </is>
      </c>
      <c r="I802" t="n">
        <v>26.8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4459-2023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45271</v>
      </c>
      <c r="E803" s="1" t="n">
        <v>46237</v>
      </c>
      <c r="F803" t="inlineStr">
        <is>
          <t>BLEKINGE LÄN</t>
        </is>
      </c>
      <c r="G803" t="inlineStr">
        <is>
          <t>KARLSKRONA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2528-2024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45474</v>
      </c>
      <c r="E804" s="1" t="n">
        <v>46237</v>
      </c>
      <c r="F804" t="inlineStr">
        <is>
          <t>BLEKINGE LÄN</t>
        </is>
      </c>
      <c r="G804" t="inlineStr">
        <is>
          <t>KARLSKRONA</t>
        </is>
      </c>
      <c r="I804" t="n">
        <v>33.3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7094-2021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44462</v>
      </c>
      <c r="E805" s="1" t="n">
        <v>46237</v>
      </c>
      <c r="F805" t="inlineStr">
        <is>
          <t>BLEKINGE LÄN</t>
        </is>
      </c>
      <c r="G805" t="inlineStr">
        <is>
          <t>KARLSKRONA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5153-2024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45646</v>
      </c>
      <c r="E806" s="1" t="n">
        <v>46237</v>
      </c>
      <c r="F806" t="inlineStr">
        <is>
          <t>BLEKINGE LÄN</t>
        </is>
      </c>
      <c r="G806" t="inlineStr">
        <is>
          <t>KARLSKRONA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855-2025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46237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466-2025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45702</v>
      </c>
      <c r="E808" s="1" t="n">
        <v>46237</v>
      </c>
      <c r="F808" t="inlineStr">
        <is>
          <t>BLEKINGE LÄN</t>
        </is>
      </c>
      <c r="G808" t="inlineStr">
        <is>
          <t>KARLSKRONA</t>
        </is>
      </c>
      <c r="I808" t="n">
        <v>50.7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686-2025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45719</v>
      </c>
      <c r="E809" s="1" t="n">
        <v>46237</v>
      </c>
      <c r="F809" t="inlineStr">
        <is>
          <t>BLEKINGE LÄN</t>
        </is>
      </c>
      <c r="G809" t="inlineStr">
        <is>
          <t>KARLSKRONA</t>
        </is>
      </c>
      <c r="I809" t="n">
        <v>24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852-2025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46237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2239-2024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45460</v>
      </c>
      <c r="E811" s="1" t="n">
        <v>46237</v>
      </c>
      <c r="F811" t="inlineStr">
        <is>
          <t>BLEKINGE LÄN</t>
        </is>
      </c>
      <c r="G811" t="inlineStr">
        <is>
          <t>KARLSKRONA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46237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361-2026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46064</v>
      </c>
      <c r="E813" s="1" t="n">
        <v>46237</v>
      </c>
      <c r="F813" t="inlineStr">
        <is>
          <t>BLEKINGE LÄN</t>
        </is>
      </c>
      <c r="G813" t="inlineStr">
        <is>
          <t>KARLSKRONA</t>
        </is>
      </c>
      <c r="I813" t="n">
        <v>18.4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46070</v>
      </c>
      <c r="E814" s="1" t="n">
        <v>46237</v>
      </c>
      <c r="F814" t="inlineStr">
        <is>
          <t>BLEKINGE LÄN</t>
        </is>
      </c>
      <c r="G814" t="inlineStr">
        <is>
          <t>KARLSKRONA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758-2026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46097</v>
      </c>
      <c r="E815" s="1" t="n">
        <v>46237</v>
      </c>
      <c r="F815" t="inlineStr">
        <is>
          <t>BLEKINGE LÄN</t>
        </is>
      </c>
      <c r="G815" t="inlineStr">
        <is>
          <t>KARLSKRONA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779-2026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46237</v>
      </c>
      <c r="F816" t="inlineStr">
        <is>
          <t>BLEKINGE LÄN</t>
        </is>
      </c>
      <c r="G816" t="inlineStr">
        <is>
          <t>KARLSKRONA</t>
        </is>
      </c>
      <c r="I816" t="n">
        <v>61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46237</v>
      </c>
      <c r="F817" t="inlineStr">
        <is>
          <t>BLEKINGE LÄN</t>
        </is>
      </c>
      <c r="G817" t="inlineStr">
        <is>
          <t>KARLSKRONA</t>
        </is>
      </c>
      <c r="I817" t="n">
        <v>45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807-2026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46101</v>
      </c>
      <c r="E818" s="1" t="n">
        <v>46237</v>
      </c>
      <c r="F818" t="inlineStr">
        <is>
          <t>BLEKINGE LÄN</t>
        </is>
      </c>
      <c r="G818" t="inlineStr">
        <is>
          <t>KARLSKRONA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853-2026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46105</v>
      </c>
      <c r="E819" s="1" t="n">
        <v>46237</v>
      </c>
      <c r="F819" t="inlineStr">
        <is>
          <t>BLEKINGE LÄN</t>
        </is>
      </c>
      <c r="G819" t="inlineStr">
        <is>
          <t>KARLSKRONA</t>
        </is>
      </c>
      <c r="I819" t="n">
        <v>167.3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1515-2026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46164</v>
      </c>
      <c r="E820" s="1" t="n">
        <v>46237</v>
      </c>
      <c r="F820" t="inlineStr">
        <is>
          <t>BLEKINGE LÄN</t>
        </is>
      </c>
      <c r="G820" t="inlineStr">
        <is>
          <t>KARLSKRONA</t>
        </is>
      </c>
      <c r="I820" t="n">
        <v>20.2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2026-08-03T01:52:26Z</dcterms:created>
  <dcterms:modified xmlns:dcterms="http://purl.org/dc/terms/" xmlns:xsi="http://www.w3.org/2001/XMLSchema-instance" xsi:type="dcterms:W3CDTF">2026-08-03T01:52:27Z</dcterms:modified>
</cp:coreProperties>
</file>