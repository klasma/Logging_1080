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45837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HYPERLINK("https://klasma.github.io/Logging_101080/artfynd/A 31117-2025 artfynd.xlsx", "A 31117-2025")</f>
        <v/>
      </c>
      <c r="T2">
        <f>HYPERLINK("https://klasma.github.io/Logging_101080/kartor/A 31117-2025 karta.png", "A 31117-2025")</f>
        <v/>
      </c>
      <c r="V2">
        <f>HYPERLINK("https://klasma.github.io/Logging_101080/klagomål/A 31117-2025 FSC-klagomål.docx", "A 31117-2025")</f>
        <v/>
      </c>
      <c r="W2">
        <f>HYPERLINK("https://klasma.github.io/Logging_101080/klagomålsmail/A 31117-2025 FSC-klagomål mail.docx", "A 31117-2025")</f>
        <v/>
      </c>
      <c r="X2">
        <f>HYPERLINK("https://klasma.github.io/Logging_101080/tillsyn/A 31117-2025 tillsynsbegäran.docx", "A 31117-2025")</f>
        <v/>
      </c>
      <c r="Y2">
        <f>HYPERLINK("https://klasma.github.io/Logging_101080/tillsynsmail/A 31117-2025 tillsynsbegäran mail.docx", "A 31117-2025")</f>
        <v/>
      </c>
    </row>
    <row r="3" ht="15" customHeight="1">
      <c r="A3" t="inlineStr">
        <is>
          <t>A 19680-2023</t>
        </is>
      </c>
      <c r="B3" s="1" t="n">
        <v>45051</v>
      </c>
      <c r="C3" s="1" t="n">
        <v>45837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ekbock
Prydnadsbock
Ekskinn
Murgröna
Noshornsoxe</t>
        </is>
      </c>
      <c r="S3">
        <f>HYPERLINK("https://klasma.github.io/Logging_1080/artfynd/A 19680-2023 artfynd.xlsx", "A 19680-2023")</f>
        <v/>
      </c>
      <c r="T3">
        <f>HYPERLINK("https://klasma.github.io/Logging_1080/kartor/A 19680-2023 karta.png", "A 19680-2023")</f>
        <v/>
      </c>
      <c r="V3">
        <f>HYPERLINK("https://klasma.github.io/Logging_1080/klagomål/A 19680-2023 FSC-klagomål.docx", "A 19680-2023")</f>
        <v/>
      </c>
      <c r="W3">
        <f>HYPERLINK("https://klasma.github.io/Logging_1080/klagomålsmail/A 19680-2023 FSC-klagomål mail.docx", "A 19680-2023")</f>
        <v/>
      </c>
      <c r="X3">
        <f>HYPERLINK("https://klasma.github.io/Logging_1080/tillsyn/A 19680-2023 tillsynsbegäran.docx", "A 19680-2023")</f>
        <v/>
      </c>
      <c r="Y3">
        <f>HYPERLINK("https://klasma.github.io/Logging_1080/tillsynsmail/A 19680-2023 tillsynsbegäran mail.docx", "A 19680-2023")</f>
        <v/>
      </c>
    </row>
    <row r="4" ht="15" customHeight="1">
      <c r="A4" t="inlineStr">
        <is>
          <t>A 31033-2019</t>
        </is>
      </c>
      <c r="B4" s="1" t="n">
        <v>43640</v>
      </c>
      <c r="C4" s="1" t="n">
        <v>45837</v>
      </c>
      <c r="D4" t="inlineStr">
        <is>
          <t>BLEKINGE LÄN</t>
        </is>
      </c>
      <c r="E4" t="inlineStr">
        <is>
          <t>KARLSKRONA</t>
        </is>
      </c>
      <c r="G4" t="n">
        <v>16.2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Långbensgroda
Blåmossa
Större vattensalamander
Vanlig padda</t>
        </is>
      </c>
      <c r="S4">
        <f>HYPERLINK("https://klasma.github.io/Logging_1080/artfynd/A 31033-2019 artfynd.xlsx", "A 31033-2019")</f>
        <v/>
      </c>
      <c r="T4">
        <f>HYPERLINK("https://klasma.github.io/Logging_1080/kartor/A 31033-2019 karta.png", "A 31033-2019")</f>
        <v/>
      </c>
      <c r="V4">
        <f>HYPERLINK("https://klasma.github.io/Logging_1080/klagomål/A 31033-2019 FSC-klagomål.docx", "A 31033-2019")</f>
        <v/>
      </c>
      <c r="W4">
        <f>HYPERLINK("https://klasma.github.io/Logging_1080/klagomålsmail/A 31033-2019 FSC-klagomål mail.docx", "A 31033-2019")</f>
        <v/>
      </c>
      <c r="X4">
        <f>HYPERLINK("https://klasma.github.io/Logging_1080/tillsyn/A 31033-2019 tillsynsbegäran.docx", "A 31033-2019")</f>
        <v/>
      </c>
      <c r="Y4">
        <f>HYPERLINK("https://klasma.github.io/Logging_1080/tillsynsmail/A 31033-2019 tillsynsbegäran mail.docx", "A 31033-2019")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45837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45837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2815-2020</t>
        </is>
      </c>
      <c r="B7" s="1" t="n">
        <v>43843</v>
      </c>
      <c r="C7" s="1" t="n">
        <v>45837</v>
      </c>
      <c r="D7" t="inlineStr">
        <is>
          <t>BLEKINGE LÄN</t>
        </is>
      </c>
      <c r="E7" t="inlineStr">
        <is>
          <t>KARLSKRONA</t>
        </is>
      </c>
      <c r="G7" t="n">
        <v>5.1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Ekoxe</t>
        </is>
      </c>
      <c r="S7">
        <f>HYPERLINK("https://klasma.github.io/Logging_1080/artfynd/A 2815-2020 artfynd.xlsx", "A 2815-2020")</f>
        <v/>
      </c>
      <c r="T7">
        <f>HYPERLINK("https://klasma.github.io/Logging_1080/kartor/A 2815-2020 karta.png", "A 2815-2020")</f>
        <v/>
      </c>
      <c r="V7">
        <f>HYPERLINK("https://klasma.github.io/Logging_1080/klagomål/A 2815-2020 FSC-klagomål.docx", "A 2815-2020")</f>
        <v/>
      </c>
      <c r="W7">
        <f>HYPERLINK("https://klasma.github.io/Logging_1080/klagomålsmail/A 2815-2020 FSC-klagomål mail.docx", "A 2815-2020")</f>
        <v/>
      </c>
      <c r="X7">
        <f>HYPERLINK("https://klasma.github.io/Logging_1080/tillsyn/A 2815-2020 tillsynsbegäran.docx", "A 2815-2020")</f>
        <v/>
      </c>
      <c r="Y7">
        <f>HYPERLINK("https://klasma.github.io/Logging_1080/tillsynsmail/A 2815-2020 tillsynsbegäran mail.docx", "A 2815-2020")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45837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45837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49495-2023</t>
        </is>
      </c>
      <c r="B10" s="1" t="n">
        <v>45211</v>
      </c>
      <c r="C10" s="1" t="n">
        <v>45837</v>
      </c>
      <c r="D10" t="inlineStr">
        <is>
          <t>BLEKINGE LÄN</t>
        </is>
      </c>
      <c r="E10" t="inlineStr">
        <is>
          <t>KARLSKRONA</t>
        </is>
      </c>
      <c r="G10" t="n">
        <v>6.1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Gropticka
Rödgul trumpetsvamp</t>
        </is>
      </c>
      <c r="S10">
        <f>HYPERLINK("https://klasma.github.io/Logging_1080/artfynd/A 49495-2023 artfynd.xlsx", "A 49495-2023")</f>
        <v/>
      </c>
      <c r="T10">
        <f>HYPERLINK("https://klasma.github.io/Logging_1080/kartor/A 49495-2023 karta.png", "A 49495-2023")</f>
        <v/>
      </c>
      <c r="V10">
        <f>HYPERLINK("https://klasma.github.io/Logging_1080/klagomål/A 49495-2023 FSC-klagomål.docx", "A 49495-2023")</f>
        <v/>
      </c>
      <c r="W10">
        <f>HYPERLINK("https://klasma.github.io/Logging_1080/klagomålsmail/A 49495-2023 FSC-klagomål mail.docx", "A 49495-2023")</f>
        <v/>
      </c>
      <c r="X10">
        <f>HYPERLINK("https://klasma.github.io/Logging_1080/tillsyn/A 49495-2023 tillsynsbegäran.docx", "A 49495-2023")</f>
        <v/>
      </c>
      <c r="Y10">
        <f>HYPERLINK("https://klasma.github.io/Logging_1080/tillsynsmail/A 49495-2023 tillsynsbegäran mail.docx", "A 49495-2023")</f>
        <v/>
      </c>
    </row>
    <row r="11" ht="15" customHeight="1">
      <c r="A11" t="inlineStr">
        <is>
          <t>A 51085-2024</t>
        </is>
      </c>
      <c r="B11" s="1" t="n">
        <v>45603</v>
      </c>
      <c r="C11" s="1" t="n">
        <v>45837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45837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HYPERLINK("https://klasma.github.io/Logging_101080/artfynd/A 29994-2025 artfynd.xlsx", "A 29994-2025")</f>
        <v/>
      </c>
      <c r="T12">
        <f>HYPERLINK("https://klasma.github.io/Logging_101080/kartor/A 29994-2025 karta.png", "A 29994-2025")</f>
        <v/>
      </c>
      <c r="V12">
        <f>HYPERLINK("https://klasma.github.io/Logging_101080/klagomål/A 29994-2025 FSC-klagomål.docx", "A 29994-2025")</f>
        <v/>
      </c>
      <c r="W12">
        <f>HYPERLINK("https://klasma.github.io/Logging_101080/klagomålsmail/A 29994-2025 FSC-klagomål mail.docx", "A 29994-2025")</f>
        <v/>
      </c>
      <c r="X12">
        <f>HYPERLINK("https://klasma.github.io/Logging_101080/tillsyn/A 29994-2025 tillsynsbegäran.docx", "A 29994-2025")</f>
        <v/>
      </c>
      <c r="Y12">
        <f>HYPERLINK("https://klasma.github.io/Logging_101080/tillsynsmail/A 29994-2025 tillsynsbegäran mail.docx", "A 29994-2025")</f>
        <v/>
      </c>
    </row>
    <row r="13" ht="15" customHeight="1">
      <c r="A13" t="inlineStr">
        <is>
          <t>A 14288-2020</t>
        </is>
      </c>
      <c r="B13" s="1" t="n">
        <v>43907</v>
      </c>
      <c r="C13" s="1" t="n">
        <v>45837</v>
      </c>
      <c r="D13" t="inlineStr">
        <is>
          <t>BLEKINGE LÄN</t>
        </is>
      </c>
      <c r="E13" t="inlineStr">
        <is>
          <t>KARLSKRONA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14288-2020 artfynd.xlsx", "A 14288-2020")</f>
        <v/>
      </c>
      <c r="T13">
        <f>HYPERLINK("https://klasma.github.io/Logging_1080/kartor/A 14288-2020 karta.png", "A 14288-2020")</f>
        <v/>
      </c>
      <c r="V13">
        <f>HYPERLINK("https://klasma.github.io/Logging_1080/klagomål/A 14288-2020 FSC-klagomål.docx", "A 14288-2020")</f>
        <v/>
      </c>
      <c r="W13">
        <f>HYPERLINK("https://klasma.github.io/Logging_1080/klagomålsmail/A 14288-2020 FSC-klagomål mail.docx", "A 14288-2020")</f>
        <v/>
      </c>
      <c r="X13">
        <f>HYPERLINK("https://klasma.github.io/Logging_1080/tillsyn/A 14288-2020 tillsynsbegäran.docx", "A 14288-2020")</f>
        <v/>
      </c>
      <c r="Y13">
        <f>HYPERLINK("https://klasma.github.io/Logging_1080/tillsynsmail/A 14288-2020 tillsynsbegäran mail.docx", "A 14288-2020")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45837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45837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45837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45837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45837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45837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45837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45837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45837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45837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45837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45837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19602-2023</t>
        </is>
      </c>
      <c r="B26" s="1" t="n">
        <v>45050</v>
      </c>
      <c r="C26" s="1" t="n">
        <v>45837</v>
      </c>
      <c r="D26" t="inlineStr">
        <is>
          <t>BLEKINGE LÄN</t>
        </is>
      </c>
      <c r="E26" t="inlineStr">
        <is>
          <t>KARLSKRONA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19602-2023 artfynd.xlsx", "A 19602-2023")</f>
        <v/>
      </c>
      <c r="T26">
        <f>HYPERLINK("https://klasma.github.io/Logging_1080/kartor/A 19602-2023 karta.png", "A 19602-2023")</f>
        <v/>
      </c>
      <c r="V26">
        <f>HYPERLINK("https://klasma.github.io/Logging_1080/klagomål/A 19602-2023 FSC-klagomål.docx", "A 19602-2023")</f>
        <v/>
      </c>
      <c r="W26">
        <f>HYPERLINK("https://klasma.github.io/Logging_1080/klagomålsmail/A 19602-2023 FSC-klagomål mail.docx", "A 19602-2023")</f>
        <v/>
      </c>
      <c r="X26">
        <f>HYPERLINK("https://klasma.github.io/Logging_1080/tillsyn/A 19602-2023 tillsynsbegäran.docx", "A 19602-2023")</f>
        <v/>
      </c>
      <c r="Y26">
        <f>HYPERLINK("https://klasma.github.io/Logging_1080/tillsynsmail/A 19602-2023 tillsynsbegäran mail.docx", "A 19602-2023")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45837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1691-2024</t>
        </is>
      </c>
      <c r="B28" s="1" t="n">
        <v>45306</v>
      </c>
      <c r="C28" s="1" t="n">
        <v>45837</v>
      </c>
      <c r="D28" t="inlineStr">
        <is>
          <t>BLEKINGE LÄN</t>
        </is>
      </c>
      <c r="E28" t="inlineStr">
        <is>
          <t>KARLSKRONA</t>
        </is>
      </c>
      <c r="G28" t="n">
        <v>8.800000000000001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HYPERLINK("https://klasma.github.io/Logging_1080/artfynd/A 1691-2024 artfynd.xlsx", "A 1691-2024")</f>
        <v/>
      </c>
      <c r="T28">
        <f>HYPERLINK("https://klasma.github.io/Logging_1080/kartor/A 1691-2024 karta.png", "A 1691-2024")</f>
        <v/>
      </c>
      <c r="V28">
        <f>HYPERLINK("https://klasma.github.io/Logging_1080/klagomål/A 1691-2024 FSC-klagomål.docx", "A 1691-2024")</f>
        <v/>
      </c>
      <c r="W28">
        <f>HYPERLINK("https://klasma.github.io/Logging_1080/klagomålsmail/A 1691-2024 FSC-klagomål mail.docx", "A 1691-2024")</f>
        <v/>
      </c>
      <c r="X28">
        <f>HYPERLINK("https://klasma.github.io/Logging_1080/tillsyn/A 1691-2024 tillsynsbegäran.docx", "A 1691-2024")</f>
        <v/>
      </c>
      <c r="Y28">
        <f>HYPERLINK("https://klasma.github.io/Logging_1080/tillsynsmail/A 1691-2024 tillsynsbegäran mail.docx", "A 1691-2024")</f>
        <v/>
      </c>
      <c r="Z28">
        <f>HYPERLINK("https://klasma.github.io/Logging_1080/fåglar/A 1691-2024 prioriterade fågelarter.docx", "A 1691-2024")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45837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10602-2024</t>
        </is>
      </c>
      <c r="B30" s="1" t="n">
        <v>45366</v>
      </c>
      <c r="C30" s="1" t="n">
        <v>45837</v>
      </c>
      <c r="D30" t="inlineStr">
        <is>
          <t>BLEKINGE LÄN</t>
        </is>
      </c>
      <c r="E30" t="inlineStr">
        <is>
          <t>KARLSKRONA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Småjungfrukam</t>
        </is>
      </c>
      <c r="S30">
        <f>HYPERLINK("https://klasma.github.io/Logging_1080/artfynd/A 10602-2024 artfynd.xlsx", "A 10602-2024")</f>
        <v/>
      </c>
      <c r="T30">
        <f>HYPERLINK("https://klasma.github.io/Logging_1080/kartor/A 10602-2024 karta.png", "A 10602-2024")</f>
        <v/>
      </c>
      <c r="V30">
        <f>HYPERLINK("https://klasma.github.io/Logging_1080/klagomål/A 10602-2024 FSC-klagomål.docx", "A 10602-2024")</f>
        <v/>
      </c>
      <c r="W30">
        <f>HYPERLINK("https://klasma.github.io/Logging_1080/klagomålsmail/A 10602-2024 FSC-klagomål mail.docx", "A 10602-2024")</f>
        <v/>
      </c>
      <c r="X30">
        <f>HYPERLINK("https://klasma.github.io/Logging_1080/tillsyn/A 10602-2024 tillsynsbegäran.docx", "A 10602-2024")</f>
        <v/>
      </c>
      <c r="Y30">
        <f>HYPERLINK("https://klasma.github.io/Logging_1080/tillsynsmail/A 10602-2024 tillsynsbegäran mail.docx", "A 10602-2024")</f>
        <v/>
      </c>
    </row>
    <row r="31" ht="15" customHeight="1">
      <c r="A31" t="inlineStr">
        <is>
          <t>A 13355-2024</t>
        </is>
      </c>
      <c r="B31" s="1" t="n">
        <v>45387</v>
      </c>
      <c r="C31" s="1" t="n">
        <v>45837</v>
      </c>
      <c r="D31" t="inlineStr">
        <is>
          <t>BLEKINGE LÄN</t>
        </is>
      </c>
      <c r="E31" t="inlineStr">
        <is>
          <t>KARLSKRONA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HYPERLINK("https://klasma.github.io/Logging_1080/artfynd/A 13355-2024 artfynd.xlsx", "A 13355-2024")</f>
        <v/>
      </c>
      <c r="T31">
        <f>HYPERLINK("https://klasma.github.io/Logging_1080/kartor/A 13355-2024 karta.png", "A 13355-2024")</f>
        <v/>
      </c>
      <c r="V31">
        <f>HYPERLINK("https://klasma.github.io/Logging_1080/klagomål/A 13355-2024 FSC-klagomål.docx", "A 13355-2024")</f>
        <v/>
      </c>
      <c r="W31">
        <f>HYPERLINK("https://klasma.github.io/Logging_1080/klagomålsmail/A 13355-2024 FSC-klagomål mail.docx", "A 13355-2024")</f>
        <v/>
      </c>
      <c r="X31">
        <f>HYPERLINK("https://klasma.github.io/Logging_1080/tillsyn/A 13355-2024 tillsynsbegäran.docx", "A 13355-2024")</f>
        <v/>
      </c>
      <c r="Y31">
        <f>HYPERLINK("https://klasma.github.io/Logging_1080/tillsynsmail/A 13355-2024 tillsynsbegäran mail.docx", "A 13355-2024")</f>
        <v/>
      </c>
    </row>
    <row r="32" ht="15" customHeight="1">
      <c r="A32" t="inlineStr">
        <is>
          <t>A 15382-2024</t>
        </is>
      </c>
      <c r="B32" s="1" t="n">
        <v>45400</v>
      </c>
      <c r="C32" s="1" t="n">
        <v>45837</v>
      </c>
      <c r="D32" t="inlineStr">
        <is>
          <t>BLEKINGE LÄN</t>
        </is>
      </c>
      <c r="E32" t="inlineStr">
        <is>
          <t>KARLSKRONA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HYPERLINK("https://klasma.github.io/Logging_1080/artfynd/A 15382-2024 artfynd.xlsx", "A 15382-2024")</f>
        <v/>
      </c>
      <c r="T32">
        <f>HYPERLINK("https://klasma.github.io/Logging_1080/kartor/A 15382-2024 karta.png", "A 15382-2024")</f>
        <v/>
      </c>
      <c r="V32">
        <f>HYPERLINK("https://klasma.github.io/Logging_1080/klagomål/A 15382-2024 FSC-klagomål.docx", "A 15382-2024")</f>
        <v/>
      </c>
      <c r="W32">
        <f>HYPERLINK("https://klasma.github.io/Logging_1080/klagomålsmail/A 15382-2024 FSC-klagomål mail.docx", "A 15382-2024")</f>
        <v/>
      </c>
      <c r="X32">
        <f>HYPERLINK("https://klasma.github.io/Logging_1080/tillsyn/A 15382-2024 tillsynsbegäran.docx", "A 15382-2024")</f>
        <v/>
      </c>
      <c r="Y32">
        <f>HYPERLINK("https://klasma.github.io/Logging_1080/tillsynsmail/A 15382-2024 tillsynsbegäran mail.docx", "A 15382-2024")</f>
        <v/>
      </c>
    </row>
    <row r="33" ht="15" customHeight="1">
      <c r="A33" t="inlineStr">
        <is>
          <t>A 37707-2024</t>
        </is>
      </c>
      <c r="B33" s="1" t="n">
        <v>45541</v>
      </c>
      <c r="C33" s="1" t="n">
        <v>45837</v>
      </c>
      <c r="D33" t="inlineStr">
        <is>
          <t>BLEKINGE LÄN</t>
        </is>
      </c>
      <c r="E33" t="inlineStr">
        <is>
          <t>KARLSKRONA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HYPERLINK("https://klasma.github.io/Logging_1080/artfynd/A 37707-2024 artfynd.xlsx", "A 37707-2024")</f>
        <v/>
      </c>
      <c r="T33">
        <f>HYPERLINK("https://klasma.github.io/Logging_1080/kartor/A 37707-2024 karta.png", "A 37707-2024")</f>
        <v/>
      </c>
      <c r="V33">
        <f>HYPERLINK("https://klasma.github.io/Logging_1080/klagomål/A 37707-2024 FSC-klagomål.docx", "A 37707-2024")</f>
        <v/>
      </c>
      <c r="W33">
        <f>HYPERLINK("https://klasma.github.io/Logging_1080/klagomålsmail/A 37707-2024 FSC-klagomål mail.docx", "A 37707-2024")</f>
        <v/>
      </c>
      <c r="X33">
        <f>HYPERLINK("https://klasma.github.io/Logging_1080/tillsyn/A 37707-2024 tillsynsbegäran.docx", "A 37707-2024")</f>
        <v/>
      </c>
      <c r="Y33">
        <f>HYPERLINK("https://klasma.github.io/Logging_1080/tillsynsmail/A 37707-2024 tillsynsbegäran mail.docx", "A 37707-2024")</f>
        <v/>
      </c>
    </row>
    <row r="34" ht="15" customHeight="1">
      <c r="A34" t="inlineStr">
        <is>
          <t>A 45591-2024</t>
        </is>
      </c>
      <c r="B34" s="1" t="n">
        <v>45579</v>
      </c>
      <c r="C34" s="1" t="n">
        <v>45837</v>
      </c>
      <c r="D34" t="inlineStr">
        <is>
          <t>BLEKINGE LÄN</t>
        </is>
      </c>
      <c r="E34" t="inlineStr">
        <is>
          <t>KARLSKRONA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HYPERLINK("https://klasma.github.io/Logging_1080/artfynd/A 45591-2024 artfynd.xlsx", "A 45591-2024")</f>
        <v/>
      </c>
      <c r="T34">
        <f>HYPERLINK("https://klasma.github.io/Logging_1080/kartor/A 45591-2024 karta.png", "A 45591-2024")</f>
        <v/>
      </c>
      <c r="V34">
        <f>HYPERLINK("https://klasma.github.io/Logging_1080/klagomål/A 45591-2024 FSC-klagomål.docx", "A 45591-2024")</f>
        <v/>
      </c>
      <c r="W34">
        <f>HYPERLINK("https://klasma.github.io/Logging_1080/klagomålsmail/A 45591-2024 FSC-klagomål mail.docx", "A 45591-2024")</f>
        <v/>
      </c>
      <c r="X34">
        <f>HYPERLINK("https://klasma.github.io/Logging_1080/tillsyn/A 45591-2024 tillsynsbegäran.docx", "A 45591-2024")</f>
        <v/>
      </c>
      <c r="Y34">
        <f>HYPERLINK("https://klasma.github.io/Logging_1080/tillsynsmail/A 45591-2024 tillsynsbegäran mail.docx", "A 45591-2024")</f>
        <v/>
      </c>
    </row>
    <row r="35" ht="15" customHeight="1">
      <c r="A35" t="inlineStr">
        <is>
          <t>A 55665-2024</t>
        </is>
      </c>
      <c r="B35" s="1" t="n">
        <v>45622</v>
      </c>
      <c r="C35" s="1" t="n">
        <v>45837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Dvärglin</t>
        </is>
      </c>
      <c r="S35">
        <f>HYPERLINK("https://klasma.github.io/Logging_1080/artfynd/A 55665-2024 artfynd.xlsx", "A 55665-2024")</f>
        <v/>
      </c>
      <c r="T35">
        <f>HYPERLINK("https://klasma.github.io/Logging_1080/kartor/A 55665-2024 karta.png", "A 55665-2024")</f>
        <v/>
      </c>
      <c r="V35">
        <f>HYPERLINK("https://klasma.github.io/Logging_1080/klagomål/A 55665-2024 FSC-klagomål.docx", "A 55665-2024")</f>
        <v/>
      </c>
      <c r="W35">
        <f>HYPERLINK("https://klasma.github.io/Logging_1080/klagomålsmail/A 55665-2024 FSC-klagomål mail.docx", "A 55665-2024")</f>
        <v/>
      </c>
      <c r="X35">
        <f>HYPERLINK("https://klasma.github.io/Logging_1080/tillsyn/A 55665-2024 tillsynsbegäran.docx", "A 55665-2024")</f>
        <v/>
      </c>
      <c r="Y35">
        <f>HYPERLINK("https://klasma.github.io/Logging_1080/tillsynsmail/A 55665-2024 tillsynsbegäran mail.docx", "A 55665-2024")</f>
        <v/>
      </c>
    </row>
    <row r="36" ht="15" customHeight="1">
      <c r="A36" t="inlineStr">
        <is>
          <t>A 26603-2025</t>
        </is>
      </c>
      <c r="B36" s="1" t="n">
        <v>45809</v>
      </c>
      <c r="C36" s="1" t="n">
        <v>45837</v>
      </c>
      <c r="D36" t="inlineStr">
        <is>
          <t>BLEKINGE LÄN</t>
        </is>
      </c>
      <c r="E36" t="inlineStr">
        <is>
          <t>KARLSKRONA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Långbensgroda</t>
        </is>
      </c>
      <c r="S36">
        <f>HYPERLINK("https://klasma.github.io/Logging_101080/artfynd/A 26603-2025 artfynd.xlsx", "A 26603-2025")</f>
        <v/>
      </c>
      <c r="T36">
        <f>HYPERLINK("https://klasma.github.io/Logging_101080/kartor/A 26603-2025 karta.png", "A 26603-2025")</f>
        <v/>
      </c>
      <c r="V36">
        <f>HYPERLINK("https://klasma.github.io/Logging_101080/klagomål/A 26603-2025 FSC-klagomål.docx", "A 26603-2025")</f>
        <v/>
      </c>
      <c r="W36">
        <f>HYPERLINK("https://klasma.github.io/Logging_101080/klagomålsmail/A 26603-2025 FSC-klagomål mail.docx", "A 26603-2025")</f>
        <v/>
      </c>
      <c r="X36">
        <f>HYPERLINK("https://klasma.github.io/Logging_101080/tillsyn/A 26603-2025 tillsynsbegäran.docx", "A 26603-2025")</f>
        <v/>
      </c>
      <c r="Y36">
        <f>HYPERLINK("https://klasma.github.io/Logging_101080/tillsynsmail/A 26603-2025 tillsynsbegäran mail.docx", "A 26603-2025")</f>
        <v/>
      </c>
    </row>
    <row r="37" ht="15" customHeight="1">
      <c r="A37" t="inlineStr">
        <is>
          <t>A 29985-2025</t>
        </is>
      </c>
      <c r="B37" s="1" t="n">
        <v>45826</v>
      </c>
      <c r="C37" s="1" t="n">
        <v>45837</v>
      </c>
      <c r="D37" t="inlineStr">
        <is>
          <t>BLEKINGE LÄN</t>
        </is>
      </c>
      <c r="E37" t="inlineStr">
        <is>
          <t>KARLSKRONA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Solvända</t>
        </is>
      </c>
      <c r="S37">
        <f>HYPERLINK("https://klasma.github.io/Logging_101080/artfynd/A 29985-2025 artfynd.xlsx", "A 29985-2025")</f>
        <v/>
      </c>
      <c r="T37">
        <f>HYPERLINK("https://klasma.github.io/Logging_101080/kartor/A 29985-2025 karta.png", "A 29985-2025")</f>
        <v/>
      </c>
      <c r="V37">
        <f>HYPERLINK("https://klasma.github.io/Logging_101080/klagomål/A 29985-2025 FSC-klagomål.docx", "A 29985-2025")</f>
        <v/>
      </c>
      <c r="W37">
        <f>HYPERLINK("https://klasma.github.io/Logging_101080/klagomålsmail/A 29985-2025 FSC-klagomål mail.docx", "A 29985-2025")</f>
        <v/>
      </c>
      <c r="X37">
        <f>HYPERLINK("https://klasma.github.io/Logging_101080/tillsyn/A 29985-2025 tillsynsbegäran.docx", "A 29985-2025")</f>
        <v/>
      </c>
      <c r="Y37">
        <f>HYPERLINK("https://klasma.github.io/Logging_101080/tillsynsmail/A 29985-2025 tillsynsbegäran mail.docx", "A 29985-2025")</f>
        <v/>
      </c>
    </row>
    <row r="38" ht="15" customHeight="1">
      <c r="A38" t="inlineStr">
        <is>
          <t>A 19762-2019</t>
        </is>
      </c>
      <c r="B38" s="1" t="n">
        <v>43567</v>
      </c>
      <c r="C38" s="1" t="n">
        <v>45837</v>
      </c>
      <c r="D38" t="inlineStr">
        <is>
          <t>BLEKINGE LÄN</t>
        </is>
      </c>
      <c r="E38" t="inlineStr">
        <is>
          <t>KARLSKRONA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19765-2019</t>
        </is>
      </c>
      <c r="B39" s="1" t="n">
        <v>43567</v>
      </c>
      <c r="C39" s="1" t="n">
        <v>45837</v>
      </c>
      <c r="D39" t="inlineStr">
        <is>
          <t>BLEKINGE LÄN</t>
        </is>
      </c>
      <c r="E39" t="inlineStr">
        <is>
          <t>KARLSKRONA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20258-2019</t>
        </is>
      </c>
      <c r="B40" s="1" t="n">
        <v>43571</v>
      </c>
      <c r="C40" s="1" t="n">
        <v>45837</v>
      </c>
      <c r="D40" t="inlineStr">
        <is>
          <t>BLEKINGE LÄN</t>
        </is>
      </c>
      <c r="E40" t="inlineStr">
        <is>
          <t>KARLSKRONA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20576-2019</t>
        </is>
      </c>
      <c r="B41" s="1" t="n">
        <v>43572</v>
      </c>
      <c r="C41" s="1" t="n">
        <v>45837</v>
      </c>
      <c r="D41" t="inlineStr">
        <is>
          <t>BLEKINGE LÄN</t>
        </is>
      </c>
      <c r="E41" t="inlineStr">
        <is>
          <t>KARLSKRONA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20704-2019</t>
        </is>
      </c>
      <c r="B42" s="1" t="n">
        <v>43573</v>
      </c>
      <c r="C42" s="1" t="n">
        <v>45837</v>
      </c>
      <c r="D42" t="inlineStr">
        <is>
          <t>BLEKINGE LÄN</t>
        </is>
      </c>
      <c r="E42" t="inlineStr">
        <is>
          <t>KARLSKRONA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21386-2019</t>
        </is>
      </c>
      <c r="B43" s="1" t="n">
        <v>43580</v>
      </c>
      <c r="C43" s="1" t="n">
        <v>45837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22031-2019</t>
        </is>
      </c>
      <c r="B44" s="1" t="n">
        <v>43584</v>
      </c>
      <c r="C44" s="1" t="n">
        <v>45837</v>
      </c>
      <c r="D44" t="inlineStr">
        <is>
          <t>BLEKINGE LÄN</t>
        </is>
      </c>
      <c r="E44" t="inlineStr">
        <is>
          <t>KARLSKRONA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22470-2019</t>
        </is>
      </c>
      <c r="B45" s="1" t="n">
        <v>43587</v>
      </c>
      <c r="C45" s="1" t="n">
        <v>45837</v>
      </c>
      <c r="D45" t="inlineStr">
        <is>
          <t>BLEKINGE LÄN</t>
        </is>
      </c>
      <c r="E45" t="inlineStr">
        <is>
          <t>KARLSKRONA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23215-2019</t>
        </is>
      </c>
      <c r="B46" s="1" t="n">
        <v>43592</v>
      </c>
      <c r="C46" s="1" t="n">
        <v>45837</v>
      </c>
      <c r="D46" t="inlineStr">
        <is>
          <t>BLEKINGE LÄN</t>
        </is>
      </c>
      <c r="E46" t="inlineStr">
        <is>
          <t>KARLSKRONA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23286-2019</t>
        </is>
      </c>
      <c r="B47" s="1" t="n">
        <v>43593</v>
      </c>
      <c r="C47" s="1" t="n">
        <v>45837</v>
      </c>
      <c r="D47" t="inlineStr">
        <is>
          <t>BLEKINGE LÄN</t>
        </is>
      </c>
      <c r="E47" t="inlineStr">
        <is>
          <t>KARLSKRONA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23528-2019</t>
        </is>
      </c>
      <c r="B48" s="1" t="n">
        <v>43594</v>
      </c>
      <c r="C48" s="1" t="n">
        <v>45837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23813-2019</t>
        </is>
      </c>
      <c r="B49" s="1" t="n">
        <v>43594</v>
      </c>
      <c r="C49" s="1" t="n">
        <v>45837</v>
      </c>
      <c r="D49" t="inlineStr">
        <is>
          <t>BLEKINGE LÄN</t>
        </is>
      </c>
      <c r="E49" t="inlineStr">
        <is>
          <t>KARLSKRONA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23721-2019</t>
        </is>
      </c>
      <c r="B50" s="1" t="n">
        <v>43594</v>
      </c>
      <c r="C50" s="1" t="n">
        <v>45837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23820-2019</t>
        </is>
      </c>
      <c r="B51" s="1" t="n">
        <v>43595</v>
      </c>
      <c r="C51" s="1" t="n">
        <v>45837</v>
      </c>
      <c r="D51" t="inlineStr">
        <is>
          <t>BLEKINGE LÄN</t>
        </is>
      </c>
      <c r="E51" t="inlineStr">
        <is>
          <t>KARLSKRONA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23950-2019</t>
        </is>
      </c>
      <c r="B52" s="1" t="n">
        <v>43597</v>
      </c>
      <c r="C52" s="1" t="n">
        <v>45837</v>
      </c>
      <c r="D52" t="inlineStr">
        <is>
          <t>BLEKINGE LÄN</t>
        </is>
      </c>
      <c r="E52" t="inlineStr">
        <is>
          <t>KARLSKRONA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24612-2019</t>
        </is>
      </c>
      <c r="B53" s="1" t="n">
        <v>43601</v>
      </c>
      <c r="C53" s="1" t="n">
        <v>45837</v>
      </c>
      <c r="D53" t="inlineStr">
        <is>
          <t>BLEKINGE LÄN</t>
        </is>
      </c>
      <c r="E53" t="inlineStr">
        <is>
          <t>KARLSKRONA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24613-2019</t>
        </is>
      </c>
      <c r="B54" s="1" t="n">
        <v>43601</v>
      </c>
      <c r="C54" s="1" t="n">
        <v>45837</v>
      </c>
      <c r="D54" t="inlineStr">
        <is>
          <t>BLEKINGE LÄN</t>
        </is>
      </c>
      <c r="E54" t="inlineStr">
        <is>
          <t>KARLSKRONA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25679-2019</t>
        </is>
      </c>
      <c r="B55" s="1" t="n">
        <v>43602</v>
      </c>
      <c r="C55" s="1" t="n">
        <v>45837</v>
      </c>
      <c r="D55" t="inlineStr">
        <is>
          <t>BLEKINGE LÄN</t>
        </is>
      </c>
      <c r="E55" t="inlineStr">
        <is>
          <t>KARLSKRONA</t>
        </is>
      </c>
      <c r="G55" t="n">
        <v>30.6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26234-2019</t>
        </is>
      </c>
      <c r="B56" s="1" t="n">
        <v>43609</v>
      </c>
      <c r="C56" s="1" t="n">
        <v>45837</v>
      </c>
      <c r="D56" t="inlineStr">
        <is>
          <t>BLEKINGE LÄN</t>
        </is>
      </c>
      <c r="E56" t="inlineStr">
        <is>
          <t>KARLSKRONA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28468-2019</t>
        </is>
      </c>
      <c r="B57" s="1" t="n">
        <v>43626</v>
      </c>
      <c r="C57" s="1" t="n">
        <v>45837</v>
      </c>
      <c r="D57" t="inlineStr">
        <is>
          <t>BLEKINGE LÄN</t>
        </is>
      </c>
      <c r="E57" t="inlineStr">
        <is>
          <t>KARLSKRONA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28430-2019</t>
        </is>
      </c>
      <c r="B58" s="1" t="n">
        <v>43626</v>
      </c>
      <c r="C58" s="1" t="n">
        <v>45837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28466-2019</t>
        </is>
      </c>
      <c r="B59" s="1" t="n">
        <v>43626</v>
      </c>
      <c r="C59" s="1" t="n">
        <v>45837</v>
      </c>
      <c r="D59" t="inlineStr">
        <is>
          <t>BLEKINGE LÄN</t>
        </is>
      </c>
      <c r="E59" t="inlineStr">
        <is>
          <t>KARLSKRONA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29505-2019</t>
        </is>
      </c>
      <c r="B60" s="1" t="n">
        <v>43627</v>
      </c>
      <c r="C60" s="1" t="n">
        <v>45837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29969-2019</t>
        </is>
      </c>
      <c r="B61" s="1" t="n">
        <v>43633</v>
      </c>
      <c r="C61" s="1" t="n">
        <v>45837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30986-2019</t>
        </is>
      </c>
      <c r="B62" s="1" t="n">
        <v>43640</v>
      </c>
      <c r="C62" s="1" t="n">
        <v>45837</v>
      </c>
      <c r="D62" t="inlineStr">
        <is>
          <t>BLEKINGE LÄN</t>
        </is>
      </c>
      <c r="E62" t="inlineStr">
        <is>
          <t>KARLSKRONA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32375-2019</t>
        </is>
      </c>
      <c r="B63" s="1" t="n">
        <v>43644</v>
      </c>
      <c r="C63" s="1" t="n">
        <v>45837</v>
      </c>
      <c r="D63" t="inlineStr">
        <is>
          <t>BLEKINGE LÄN</t>
        </is>
      </c>
      <c r="E63" t="inlineStr">
        <is>
          <t>KARLSKRONA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32751-2019</t>
        </is>
      </c>
      <c r="B64" s="1" t="n">
        <v>43648</v>
      </c>
      <c r="C64" s="1" t="n">
        <v>45837</v>
      </c>
      <c r="D64" t="inlineStr">
        <is>
          <t>BLEKINGE LÄN</t>
        </is>
      </c>
      <c r="E64" t="inlineStr">
        <is>
          <t>KARLSKRONA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33276-2019</t>
        </is>
      </c>
      <c r="B65" s="1" t="n">
        <v>43650</v>
      </c>
      <c r="C65" s="1" t="n">
        <v>45837</v>
      </c>
      <c r="D65" t="inlineStr">
        <is>
          <t>BLEKINGE LÄN</t>
        </is>
      </c>
      <c r="E65" t="inlineStr">
        <is>
          <t>KARLSKRONA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33327-2019</t>
        </is>
      </c>
      <c r="B66" s="1" t="n">
        <v>43650</v>
      </c>
      <c r="C66" s="1" t="n">
        <v>45837</v>
      </c>
      <c r="D66" t="inlineStr">
        <is>
          <t>BLEKINGE LÄN</t>
        </is>
      </c>
      <c r="E66" t="inlineStr">
        <is>
          <t>KARLSKRONA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34196-2019</t>
        </is>
      </c>
      <c r="B67" s="1" t="n">
        <v>43655</v>
      </c>
      <c r="C67" s="1" t="n">
        <v>45837</v>
      </c>
      <c r="D67" t="inlineStr">
        <is>
          <t>BLEKINGE LÄN</t>
        </is>
      </c>
      <c r="E67" t="inlineStr">
        <is>
          <t>KARLSKRONA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36532-2019</t>
        </is>
      </c>
      <c r="B68" s="1" t="n">
        <v>43663</v>
      </c>
      <c r="C68" s="1" t="n">
        <v>45837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36070-2019</t>
        </is>
      </c>
      <c r="B69" s="1" t="n">
        <v>43668</v>
      </c>
      <c r="C69" s="1" t="n">
        <v>45837</v>
      </c>
      <c r="D69" t="inlineStr">
        <is>
          <t>BLEKINGE LÄN</t>
        </is>
      </c>
      <c r="E69" t="inlineStr">
        <is>
          <t>KARLSKRONA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36562-2019</t>
        </is>
      </c>
      <c r="B70" s="1" t="n">
        <v>43671</v>
      </c>
      <c r="C70" s="1" t="n">
        <v>45837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36977-2019</t>
        </is>
      </c>
      <c r="B71" s="1" t="n">
        <v>43676</v>
      </c>
      <c r="C71" s="1" t="n">
        <v>45837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37008-2019</t>
        </is>
      </c>
      <c r="B72" s="1" t="n">
        <v>43676</v>
      </c>
      <c r="C72" s="1" t="n">
        <v>45837</v>
      </c>
      <c r="D72" t="inlineStr">
        <is>
          <t>BLEKINGE LÄN</t>
        </is>
      </c>
      <c r="E72" t="inlineStr">
        <is>
          <t>KARLSKRONA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37659-2019</t>
        </is>
      </c>
      <c r="B73" s="1" t="n">
        <v>43682</v>
      </c>
      <c r="C73" s="1" t="n">
        <v>45837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38097-2019</t>
        </is>
      </c>
      <c r="B74" s="1" t="n">
        <v>43683</v>
      </c>
      <c r="C74" s="1" t="n">
        <v>45837</v>
      </c>
      <c r="D74" t="inlineStr">
        <is>
          <t>BLEKINGE LÄN</t>
        </is>
      </c>
      <c r="E74" t="inlineStr">
        <is>
          <t>KARLSKRONA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38299-2019</t>
        </is>
      </c>
      <c r="B75" s="1" t="n">
        <v>43684</v>
      </c>
      <c r="C75" s="1" t="n">
        <v>45837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38159-2019</t>
        </is>
      </c>
      <c r="B76" s="1" t="n">
        <v>43684</v>
      </c>
      <c r="C76" s="1" t="n">
        <v>45837</v>
      </c>
      <c r="D76" t="inlineStr">
        <is>
          <t>BLEKINGE LÄN</t>
        </is>
      </c>
      <c r="E76" t="inlineStr">
        <is>
          <t>KARLSKRONA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38297-2019</t>
        </is>
      </c>
      <c r="B77" s="1" t="n">
        <v>43684</v>
      </c>
      <c r="C77" s="1" t="n">
        <v>45837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38136-2019</t>
        </is>
      </c>
      <c r="B78" s="1" t="n">
        <v>43684</v>
      </c>
      <c r="C78" s="1" t="n">
        <v>45837</v>
      </c>
      <c r="D78" t="inlineStr">
        <is>
          <t>BLEKINGE LÄN</t>
        </is>
      </c>
      <c r="E78" t="inlineStr">
        <is>
          <t>KARLSKRONA</t>
        </is>
      </c>
      <c r="F78" t="inlineStr">
        <is>
          <t>Kommuner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38697-2019</t>
        </is>
      </c>
      <c r="B79" s="1" t="n">
        <v>43686</v>
      </c>
      <c r="C79" s="1" t="n">
        <v>45837</v>
      </c>
      <c r="D79" t="inlineStr">
        <is>
          <t>BLEKINGE LÄN</t>
        </is>
      </c>
      <c r="E79" t="inlineStr">
        <is>
          <t>KARLSKRONA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38613-2019</t>
        </is>
      </c>
      <c r="B80" s="1" t="n">
        <v>43686</v>
      </c>
      <c r="C80" s="1" t="n">
        <v>45837</v>
      </c>
      <c r="D80" t="inlineStr">
        <is>
          <t>BLEKINGE LÄN</t>
        </is>
      </c>
      <c r="E80" t="inlineStr">
        <is>
          <t>KARLSKRONA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39370-2019</t>
        </is>
      </c>
      <c r="B81" s="1" t="n">
        <v>43690</v>
      </c>
      <c r="C81" s="1" t="n">
        <v>45837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39505-2019</t>
        </is>
      </c>
      <c r="B82" s="1" t="n">
        <v>43691</v>
      </c>
      <c r="C82" s="1" t="n">
        <v>45837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39944-2019</t>
        </is>
      </c>
      <c r="B83" s="1" t="n">
        <v>43692</v>
      </c>
      <c r="C83" s="1" t="n">
        <v>45837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40806-2019</t>
        </is>
      </c>
      <c r="B84" s="1" t="n">
        <v>43692</v>
      </c>
      <c r="C84" s="1" t="n">
        <v>45837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40057-2019</t>
        </is>
      </c>
      <c r="B85" s="1" t="n">
        <v>43692</v>
      </c>
      <c r="C85" s="1" t="n">
        <v>45837</v>
      </c>
      <c r="D85" t="inlineStr">
        <is>
          <t>BLEKINGE LÄN</t>
        </is>
      </c>
      <c r="E85" t="inlineStr">
        <is>
          <t>KARLSKRONA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40019-2019</t>
        </is>
      </c>
      <c r="B86" s="1" t="n">
        <v>43692</v>
      </c>
      <c r="C86" s="1" t="n">
        <v>45837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41067-2019</t>
        </is>
      </c>
      <c r="B87" s="1" t="n">
        <v>43698</v>
      </c>
      <c r="C87" s="1" t="n">
        <v>45837</v>
      </c>
      <c r="D87" t="inlineStr">
        <is>
          <t>BLEKINGE LÄN</t>
        </is>
      </c>
      <c r="E87" t="inlineStr">
        <is>
          <t>KARLSKRONA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41073-2019</t>
        </is>
      </c>
      <c r="B88" s="1" t="n">
        <v>43698</v>
      </c>
      <c r="C88" s="1" t="n">
        <v>45837</v>
      </c>
      <c r="D88" t="inlineStr">
        <is>
          <t>BLEKINGE LÄN</t>
        </is>
      </c>
      <c r="E88" t="inlineStr">
        <is>
          <t>KARLSKRONA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41078-2019</t>
        </is>
      </c>
      <c r="B89" s="1" t="n">
        <v>43698</v>
      </c>
      <c r="C89" s="1" t="n">
        <v>45837</v>
      </c>
      <c r="D89" t="inlineStr">
        <is>
          <t>BLEKINGE LÄN</t>
        </is>
      </c>
      <c r="E89" t="inlineStr">
        <is>
          <t>KARLSKRONA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41230-2019</t>
        </is>
      </c>
      <c r="B90" s="1" t="n">
        <v>43698</v>
      </c>
      <c r="C90" s="1" t="n">
        <v>45837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41376-2019</t>
        </is>
      </c>
      <c r="B91" s="1" t="n">
        <v>43698</v>
      </c>
      <c r="C91" s="1" t="n">
        <v>45837</v>
      </c>
      <c r="D91" t="inlineStr">
        <is>
          <t>BLEKINGE LÄN</t>
        </is>
      </c>
      <c r="E91" t="inlineStr">
        <is>
          <t>KARLSKRONA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41229-2019</t>
        </is>
      </c>
      <c r="B92" s="1" t="n">
        <v>43698</v>
      </c>
      <c r="C92" s="1" t="n">
        <v>45837</v>
      </c>
      <c r="D92" t="inlineStr">
        <is>
          <t>BLEKINGE LÄN</t>
        </is>
      </c>
      <c r="E92" t="inlineStr">
        <is>
          <t>KARLSKRONA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41430-2019</t>
        </is>
      </c>
      <c r="B93" s="1" t="n">
        <v>43698</v>
      </c>
      <c r="C93" s="1" t="n">
        <v>45837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41422-2019</t>
        </is>
      </c>
      <c r="B94" s="1" t="n">
        <v>43698</v>
      </c>
      <c r="C94" s="1" t="n">
        <v>45837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41217-2019</t>
        </is>
      </c>
      <c r="B95" s="1" t="n">
        <v>43698</v>
      </c>
      <c r="C95" s="1" t="n">
        <v>45837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41233-2019</t>
        </is>
      </c>
      <c r="B96" s="1" t="n">
        <v>43698</v>
      </c>
      <c r="C96" s="1" t="n">
        <v>45837</v>
      </c>
      <c r="D96" t="inlineStr">
        <is>
          <t>BLEKINGE LÄN</t>
        </is>
      </c>
      <c r="E96" t="inlineStr">
        <is>
          <t>KARLSKRONA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41369-2019</t>
        </is>
      </c>
      <c r="B97" s="1" t="n">
        <v>43698</v>
      </c>
      <c r="C97" s="1" t="n">
        <v>45837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41317-2019</t>
        </is>
      </c>
      <c r="B98" s="1" t="n">
        <v>43698</v>
      </c>
      <c r="C98" s="1" t="n">
        <v>45837</v>
      </c>
      <c r="D98" t="inlineStr">
        <is>
          <t>BLEKINGE LÄN</t>
        </is>
      </c>
      <c r="E98" t="inlineStr">
        <is>
          <t>KARLSKRONA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41388-2019</t>
        </is>
      </c>
      <c r="B99" s="1" t="n">
        <v>43698</v>
      </c>
      <c r="C99" s="1" t="n">
        <v>45837</v>
      </c>
      <c r="D99" t="inlineStr">
        <is>
          <t>BLEKINGE LÄN</t>
        </is>
      </c>
      <c r="E99" t="inlineStr">
        <is>
          <t>KARLSKRONA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41765-2019</t>
        </is>
      </c>
      <c r="B100" s="1" t="n">
        <v>43699</v>
      </c>
      <c r="C100" s="1" t="n">
        <v>45837</v>
      </c>
      <c r="D100" t="inlineStr">
        <is>
          <t>BLEKINGE LÄN</t>
        </is>
      </c>
      <c r="E100" t="inlineStr">
        <is>
          <t>KARLSKRONA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42085-2019</t>
        </is>
      </c>
      <c r="B101" s="1" t="n">
        <v>43701</v>
      </c>
      <c r="C101" s="1" t="n">
        <v>45837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42086-2019</t>
        </is>
      </c>
      <c r="B102" s="1" t="n">
        <v>43701</v>
      </c>
      <c r="C102" s="1" t="n">
        <v>45837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43532-2019</t>
        </is>
      </c>
      <c r="B103" s="1" t="n">
        <v>43706</v>
      </c>
      <c r="C103" s="1" t="n">
        <v>45837</v>
      </c>
      <c r="D103" t="inlineStr">
        <is>
          <t>BLEKINGE LÄN</t>
        </is>
      </c>
      <c r="E103" t="inlineStr">
        <is>
          <t>KARLSKRONA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44120-2019</t>
        </is>
      </c>
      <c r="B104" s="1" t="n">
        <v>43710</v>
      </c>
      <c r="C104" s="1" t="n">
        <v>45837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44362-2019</t>
        </is>
      </c>
      <c r="B105" s="1" t="n">
        <v>43710</v>
      </c>
      <c r="C105" s="1" t="n">
        <v>45837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44048-2019</t>
        </is>
      </c>
      <c r="B106" s="1" t="n">
        <v>43710</v>
      </c>
      <c r="C106" s="1" t="n">
        <v>45837</v>
      </c>
      <c r="D106" t="inlineStr">
        <is>
          <t>BLEKINGE LÄN</t>
        </is>
      </c>
      <c r="E106" t="inlineStr">
        <is>
          <t>KARLSKRONA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44358-2019</t>
        </is>
      </c>
      <c r="B107" s="1" t="n">
        <v>43711</v>
      </c>
      <c r="C107" s="1" t="n">
        <v>45837</v>
      </c>
      <c r="D107" t="inlineStr">
        <is>
          <t>BLEKINGE LÄN</t>
        </is>
      </c>
      <c r="E107" t="inlineStr">
        <is>
          <t>KARLSKRONA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44451-2019</t>
        </is>
      </c>
      <c r="B108" s="1" t="n">
        <v>43711</v>
      </c>
      <c r="C108" s="1" t="n">
        <v>45837</v>
      </c>
      <c r="D108" t="inlineStr">
        <is>
          <t>BLEKINGE LÄN</t>
        </is>
      </c>
      <c r="E108" t="inlineStr">
        <is>
          <t>KARLSKRONA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44526-2019</t>
        </is>
      </c>
      <c r="B109" s="1" t="n">
        <v>43711</v>
      </c>
      <c r="C109" s="1" t="n">
        <v>45837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44667-2019</t>
        </is>
      </c>
      <c r="B110" s="1" t="n">
        <v>43712</v>
      </c>
      <c r="C110" s="1" t="n">
        <v>45837</v>
      </c>
      <c r="D110" t="inlineStr">
        <is>
          <t>BLEKINGE LÄN</t>
        </is>
      </c>
      <c r="E110" t="inlineStr">
        <is>
          <t>KARLSKRONA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44674-2019</t>
        </is>
      </c>
      <c r="B111" s="1" t="n">
        <v>43712</v>
      </c>
      <c r="C111" s="1" t="n">
        <v>45837</v>
      </c>
      <c r="D111" t="inlineStr">
        <is>
          <t>BLEKINGE LÄN</t>
        </is>
      </c>
      <c r="E111" t="inlineStr">
        <is>
          <t>KARLSKRONA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44668-2019</t>
        </is>
      </c>
      <c r="B112" s="1" t="n">
        <v>43712</v>
      </c>
      <c r="C112" s="1" t="n">
        <v>45837</v>
      </c>
      <c r="D112" t="inlineStr">
        <is>
          <t>BLEKINGE LÄN</t>
        </is>
      </c>
      <c r="E112" t="inlineStr">
        <is>
          <t>KARLSKRONA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44819-2019</t>
        </is>
      </c>
      <c r="B113" s="1" t="n">
        <v>43712</v>
      </c>
      <c r="C113" s="1" t="n">
        <v>45837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44829-2019</t>
        </is>
      </c>
      <c r="B114" s="1" t="n">
        <v>43712</v>
      </c>
      <c r="C114" s="1" t="n">
        <v>45837</v>
      </c>
      <c r="D114" t="inlineStr">
        <is>
          <t>BLEKINGE LÄN</t>
        </is>
      </c>
      <c r="E114" t="inlineStr">
        <is>
          <t>KARLSKRONA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44812-2019</t>
        </is>
      </c>
      <c r="B115" s="1" t="n">
        <v>43712</v>
      </c>
      <c r="C115" s="1" t="n">
        <v>45837</v>
      </c>
      <c r="D115" t="inlineStr">
        <is>
          <t>BLEKINGE LÄN</t>
        </is>
      </c>
      <c r="E115" t="inlineStr">
        <is>
          <t>KARLSKRONA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46106-2019</t>
        </is>
      </c>
      <c r="B116" s="1" t="n">
        <v>43718</v>
      </c>
      <c r="C116" s="1" t="n">
        <v>45837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46178-2019</t>
        </is>
      </c>
      <c r="B117" s="1" t="n">
        <v>43718</v>
      </c>
      <c r="C117" s="1" t="n">
        <v>45837</v>
      </c>
      <c r="D117" t="inlineStr">
        <is>
          <t>BLEKINGE LÄN</t>
        </is>
      </c>
      <c r="E117" t="inlineStr">
        <is>
          <t>KARLSKRONA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46398-2019</t>
        </is>
      </c>
      <c r="B118" s="1" t="n">
        <v>43719</v>
      </c>
      <c r="C118" s="1" t="n">
        <v>45837</v>
      </c>
      <c r="D118" t="inlineStr">
        <is>
          <t>BLEKINGE LÄN</t>
        </is>
      </c>
      <c r="E118" t="inlineStr">
        <is>
          <t>KARLSKRONA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46492-2019</t>
        </is>
      </c>
      <c r="B119" s="1" t="n">
        <v>43719</v>
      </c>
      <c r="C119" s="1" t="n">
        <v>45837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46388-2019</t>
        </is>
      </c>
      <c r="B120" s="1" t="n">
        <v>43719</v>
      </c>
      <c r="C120" s="1" t="n">
        <v>45837</v>
      </c>
      <c r="D120" t="inlineStr">
        <is>
          <t>BLEKINGE LÄN</t>
        </is>
      </c>
      <c r="E120" t="inlineStr">
        <is>
          <t>KARLSKRONA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46422-2019</t>
        </is>
      </c>
      <c r="B121" s="1" t="n">
        <v>43719</v>
      </c>
      <c r="C121" s="1" t="n">
        <v>45837</v>
      </c>
      <c r="D121" t="inlineStr">
        <is>
          <t>BLEKINGE LÄN</t>
        </is>
      </c>
      <c r="E121" t="inlineStr">
        <is>
          <t>KARLSKRONA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46874-2019</t>
        </is>
      </c>
      <c r="B122" s="1" t="n">
        <v>43720</v>
      </c>
      <c r="C122" s="1" t="n">
        <v>45837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46935-2019</t>
        </is>
      </c>
      <c r="B123" s="1" t="n">
        <v>43720</v>
      </c>
      <c r="C123" s="1" t="n">
        <v>45837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47264-2019</t>
        </is>
      </c>
      <c r="B124" s="1" t="n">
        <v>43721</v>
      </c>
      <c r="C124" s="1" t="n">
        <v>45837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48546-2019</t>
        </is>
      </c>
      <c r="B125" s="1" t="n">
        <v>43727</v>
      </c>
      <c r="C125" s="1" t="n">
        <v>45837</v>
      </c>
      <c r="D125" t="inlineStr">
        <is>
          <t>BLEKINGE LÄN</t>
        </is>
      </c>
      <c r="E125" t="inlineStr">
        <is>
          <t>KARLSKRONA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51119-2019</t>
        </is>
      </c>
      <c r="B126" s="1" t="n">
        <v>43732</v>
      </c>
      <c r="C126" s="1" t="n">
        <v>45837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50536-2019</t>
        </is>
      </c>
      <c r="B127" s="1" t="n">
        <v>43735</v>
      </c>
      <c r="C127" s="1" t="n">
        <v>45837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50960-2019</t>
        </is>
      </c>
      <c r="B128" s="1" t="n">
        <v>43738</v>
      </c>
      <c r="C128" s="1" t="n">
        <v>45837</v>
      </c>
      <c r="D128" t="inlineStr">
        <is>
          <t>BLEKINGE LÄN</t>
        </is>
      </c>
      <c r="E128" t="inlineStr">
        <is>
          <t>KARLSKRONA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52011-2019</t>
        </is>
      </c>
      <c r="B129" s="1" t="n">
        <v>43742</v>
      </c>
      <c r="C129" s="1" t="n">
        <v>45837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52693-2019</t>
        </is>
      </c>
      <c r="B130" s="1" t="n">
        <v>43746</v>
      </c>
      <c r="C130" s="1" t="n">
        <v>45837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54008-2019</t>
        </is>
      </c>
      <c r="B131" s="1" t="n">
        <v>43746</v>
      </c>
      <c r="C131" s="1" t="n">
        <v>45837</v>
      </c>
      <c r="D131" t="inlineStr">
        <is>
          <t>BLEKINGE LÄN</t>
        </is>
      </c>
      <c r="E131" t="inlineStr">
        <is>
          <t>KARLSKRONA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53069-2019</t>
        </is>
      </c>
      <c r="B132" s="1" t="n">
        <v>43747</v>
      </c>
      <c r="C132" s="1" t="n">
        <v>45837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53273-2019</t>
        </is>
      </c>
      <c r="B133" s="1" t="n">
        <v>43748</v>
      </c>
      <c r="C133" s="1" t="n">
        <v>45837</v>
      </c>
      <c r="D133" t="inlineStr">
        <is>
          <t>BLEKINGE LÄN</t>
        </is>
      </c>
      <c r="E133" t="inlineStr">
        <is>
          <t>KARLSKRONA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54192-2019</t>
        </is>
      </c>
      <c r="B134" s="1" t="n">
        <v>43753</v>
      </c>
      <c r="C134" s="1" t="n">
        <v>45837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54144-2019</t>
        </is>
      </c>
      <c r="B135" s="1" t="n">
        <v>43753</v>
      </c>
      <c r="C135" s="1" t="n">
        <v>45837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54508-2019</t>
        </is>
      </c>
      <c r="B136" s="1" t="n">
        <v>43754</v>
      </c>
      <c r="C136" s="1" t="n">
        <v>45837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56341-2019</t>
        </is>
      </c>
      <c r="B137" s="1" t="n">
        <v>43756</v>
      </c>
      <c r="C137" s="1" t="n">
        <v>45837</v>
      </c>
      <c r="D137" t="inlineStr">
        <is>
          <t>BLEKINGE LÄN</t>
        </is>
      </c>
      <c r="E137" t="inlineStr">
        <is>
          <t>KARLSKRONA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55493-2019</t>
        </is>
      </c>
      <c r="B138" s="1" t="n">
        <v>43760</v>
      </c>
      <c r="C138" s="1" t="n">
        <v>45837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55494-2019</t>
        </is>
      </c>
      <c r="B139" s="1" t="n">
        <v>43760</v>
      </c>
      <c r="C139" s="1" t="n">
        <v>45837</v>
      </c>
      <c r="D139" t="inlineStr">
        <is>
          <t>BLEKINGE LÄN</t>
        </is>
      </c>
      <c r="E139" t="inlineStr">
        <is>
          <t>KARLSKRONA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56357-2019</t>
        </is>
      </c>
      <c r="B140" s="1" t="n">
        <v>43761</v>
      </c>
      <c r="C140" s="1" t="n">
        <v>45837</v>
      </c>
      <c r="D140" t="inlineStr">
        <is>
          <t>BLEKINGE LÄN</t>
        </is>
      </c>
      <c r="E140" t="inlineStr">
        <is>
          <t>KARLSKRONA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56528-2019</t>
        </is>
      </c>
      <c r="B141" s="1" t="n">
        <v>43763</v>
      </c>
      <c r="C141" s="1" t="n">
        <v>45837</v>
      </c>
      <c r="D141" t="inlineStr">
        <is>
          <t>BLEKINGE LÄN</t>
        </is>
      </c>
      <c r="E141" t="inlineStr">
        <is>
          <t>KARLSKRONA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56529-2019</t>
        </is>
      </c>
      <c r="B142" s="1" t="n">
        <v>43763</v>
      </c>
      <c r="C142" s="1" t="n">
        <v>45837</v>
      </c>
      <c r="D142" t="inlineStr">
        <is>
          <t>BLEKINGE LÄN</t>
        </is>
      </c>
      <c r="E142" t="inlineStr">
        <is>
          <t>KARLSKRONA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56531-2019</t>
        </is>
      </c>
      <c r="B143" s="1" t="n">
        <v>43763</v>
      </c>
      <c r="C143" s="1" t="n">
        <v>45837</v>
      </c>
      <c r="D143" t="inlineStr">
        <is>
          <t>BLEKINGE LÄN</t>
        </is>
      </c>
      <c r="E143" t="inlineStr">
        <is>
          <t>KARLSKRONA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56876-2019</t>
        </is>
      </c>
      <c r="B144" s="1" t="n">
        <v>43766</v>
      </c>
      <c r="C144" s="1" t="n">
        <v>45837</v>
      </c>
      <c r="D144" t="inlineStr">
        <is>
          <t>BLEKINGE LÄN</t>
        </is>
      </c>
      <c r="E144" t="inlineStr">
        <is>
          <t>KARLSKRONA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57105-2019</t>
        </is>
      </c>
      <c r="B145" s="1" t="n">
        <v>43766</v>
      </c>
      <c r="C145" s="1" t="n">
        <v>45837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58268-2019</t>
        </is>
      </c>
      <c r="B146" s="1" t="n">
        <v>43770</v>
      </c>
      <c r="C146" s="1" t="n">
        <v>45837</v>
      </c>
      <c r="D146" t="inlineStr">
        <is>
          <t>BLEKINGE LÄN</t>
        </is>
      </c>
      <c r="E146" t="inlineStr">
        <is>
          <t>KARLSKRONA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58605-2019</t>
        </is>
      </c>
      <c r="B147" s="1" t="n">
        <v>43773</v>
      </c>
      <c r="C147" s="1" t="n">
        <v>45837</v>
      </c>
      <c r="D147" t="inlineStr">
        <is>
          <t>BLEKINGE LÄN</t>
        </is>
      </c>
      <c r="E147" t="inlineStr">
        <is>
          <t>KARLSKRONA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58783-2019</t>
        </is>
      </c>
      <c r="B148" s="1" t="n">
        <v>43773</v>
      </c>
      <c r="C148" s="1" t="n">
        <v>45837</v>
      </c>
      <c r="D148" t="inlineStr">
        <is>
          <t>BLEKINGE LÄN</t>
        </is>
      </c>
      <c r="E148" t="inlineStr">
        <is>
          <t>KARLSKRONA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59064-2019</t>
        </is>
      </c>
      <c r="B149" s="1" t="n">
        <v>43774</v>
      </c>
      <c r="C149" s="1" t="n">
        <v>45837</v>
      </c>
      <c r="D149" t="inlineStr">
        <is>
          <t>BLEKINGE LÄN</t>
        </is>
      </c>
      <c r="E149" t="inlineStr">
        <is>
          <t>KARLSKRONA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59268-2019</t>
        </is>
      </c>
      <c r="B150" s="1" t="n">
        <v>43775</v>
      </c>
      <c r="C150" s="1" t="n">
        <v>45837</v>
      </c>
      <c r="D150" t="inlineStr">
        <is>
          <t>BLEKINGE LÄN</t>
        </is>
      </c>
      <c r="E150" t="inlineStr">
        <is>
          <t>KARLSKRONA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59305-2019</t>
        </is>
      </c>
      <c r="B151" s="1" t="n">
        <v>43775</v>
      </c>
      <c r="C151" s="1" t="n">
        <v>45837</v>
      </c>
      <c r="D151" t="inlineStr">
        <is>
          <t>BLEKINGE LÄN</t>
        </is>
      </c>
      <c r="E151" t="inlineStr">
        <is>
          <t>KARLSKRONA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60082-2019</t>
        </is>
      </c>
      <c r="B152" s="1" t="n">
        <v>43777</v>
      </c>
      <c r="C152" s="1" t="n">
        <v>45837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61001-2019</t>
        </is>
      </c>
      <c r="B153" s="1" t="n">
        <v>43782</v>
      </c>
      <c r="C153" s="1" t="n">
        <v>45837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62221-2019</t>
        </is>
      </c>
      <c r="B154" s="1" t="n">
        <v>43782</v>
      </c>
      <c r="C154" s="1" t="n">
        <v>45837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61670-2019</t>
        </is>
      </c>
      <c r="B155" s="1" t="n">
        <v>43783</v>
      </c>
      <c r="C155" s="1" t="n">
        <v>45837</v>
      </c>
      <c r="D155" t="inlineStr">
        <is>
          <t>BLEKINGE LÄN</t>
        </is>
      </c>
      <c r="E155" t="inlineStr">
        <is>
          <t>KARLSKRONA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64189-2019</t>
        </is>
      </c>
      <c r="B156" s="1" t="n">
        <v>43783</v>
      </c>
      <c r="C156" s="1" t="n">
        <v>45837</v>
      </c>
      <c r="D156" t="inlineStr">
        <is>
          <t>BLEKINGE LÄN</t>
        </is>
      </c>
      <c r="E156" t="inlineStr">
        <is>
          <t>KARLSKRONA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62479-2019</t>
        </is>
      </c>
      <c r="B157" s="1" t="n">
        <v>43788</v>
      </c>
      <c r="C157" s="1" t="n">
        <v>45837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62477-2019</t>
        </is>
      </c>
      <c r="B158" s="1" t="n">
        <v>43788</v>
      </c>
      <c r="C158" s="1" t="n">
        <v>45837</v>
      </c>
      <c r="D158" t="inlineStr">
        <is>
          <t>BLEKINGE LÄN</t>
        </is>
      </c>
      <c r="E158" t="inlineStr">
        <is>
          <t>KARLSKRONA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62693-2019</t>
        </is>
      </c>
      <c r="B159" s="1" t="n">
        <v>43789</v>
      </c>
      <c r="C159" s="1" t="n">
        <v>45837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63389-2019</t>
        </is>
      </c>
      <c r="B160" s="1" t="n">
        <v>43790</v>
      </c>
      <c r="C160" s="1" t="n">
        <v>45837</v>
      </c>
      <c r="D160" t="inlineStr">
        <is>
          <t>BLEKINGE LÄN</t>
        </is>
      </c>
      <c r="E160" t="inlineStr">
        <is>
          <t>KARLSKRONA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65750-2019</t>
        </is>
      </c>
      <c r="B161" s="1" t="n">
        <v>43804</v>
      </c>
      <c r="C161" s="1" t="n">
        <v>45837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65768-2019</t>
        </is>
      </c>
      <c r="B162" s="1" t="n">
        <v>43804</v>
      </c>
      <c r="C162" s="1" t="n">
        <v>45837</v>
      </c>
      <c r="D162" t="inlineStr">
        <is>
          <t>BLEKINGE LÄN</t>
        </is>
      </c>
      <c r="E162" t="inlineStr">
        <is>
          <t>KARLSKRONA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67201-2019</t>
        </is>
      </c>
      <c r="B163" s="1" t="n">
        <v>43811</v>
      </c>
      <c r="C163" s="1" t="n">
        <v>45837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67260-2019</t>
        </is>
      </c>
      <c r="B164" s="1" t="n">
        <v>43812</v>
      </c>
      <c r="C164" s="1" t="n">
        <v>45837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67269-2019</t>
        </is>
      </c>
      <c r="B165" s="1" t="n">
        <v>43812</v>
      </c>
      <c r="C165" s="1" t="n">
        <v>45837</v>
      </c>
      <c r="D165" t="inlineStr">
        <is>
          <t>BLEKINGE LÄN</t>
        </is>
      </c>
      <c r="E165" t="inlineStr">
        <is>
          <t>KARLSKRONA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68240-2019</t>
        </is>
      </c>
      <c r="B166" s="1" t="n">
        <v>43817</v>
      </c>
      <c r="C166" s="1" t="n">
        <v>45837</v>
      </c>
      <c r="D166" t="inlineStr">
        <is>
          <t>BLEKINGE LÄN</t>
        </is>
      </c>
      <c r="E166" t="inlineStr">
        <is>
          <t>KARLSKRONA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68443-2019</t>
        </is>
      </c>
      <c r="B167" s="1" t="n">
        <v>43818</v>
      </c>
      <c r="C167" s="1" t="n">
        <v>45837</v>
      </c>
      <c r="D167" t="inlineStr">
        <is>
          <t>BLEKINGE LÄN</t>
        </is>
      </c>
      <c r="E167" t="inlineStr">
        <is>
          <t>KARLSKRONA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84-2020</t>
        </is>
      </c>
      <c r="B168" s="1" t="n">
        <v>43832</v>
      </c>
      <c r="C168" s="1" t="n">
        <v>45837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85-2020</t>
        </is>
      </c>
      <c r="B169" s="1" t="n">
        <v>43832</v>
      </c>
      <c r="C169" s="1" t="n">
        <v>45837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132-2020</t>
        </is>
      </c>
      <c r="B170" s="1" t="n">
        <v>43833</v>
      </c>
      <c r="C170" s="1" t="n">
        <v>45837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418-2020</t>
        </is>
      </c>
      <c r="B171" s="1" t="n">
        <v>43837</v>
      </c>
      <c r="C171" s="1" t="n">
        <v>45837</v>
      </c>
      <c r="D171" t="inlineStr">
        <is>
          <t>BLEKINGE LÄN</t>
        </is>
      </c>
      <c r="E171" t="inlineStr">
        <is>
          <t>KARLSKRONA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614-2020</t>
        </is>
      </c>
      <c r="B172" s="1" t="n">
        <v>43838</v>
      </c>
      <c r="C172" s="1" t="n">
        <v>45837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689-2020</t>
        </is>
      </c>
      <c r="B173" s="1" t="n">
        <v>43838</v>
      </c>
      <c r="C173" s="1" t="n">
        <v>45837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1223-2020</t>
        </is>
      </c>
      <c r="B174" s="1" t="n">
        <v>43840</v>
      </c>
      <c r="C174" s="1" t="n">
        <v>45837</v>
      </c>
      <c r="D174" t="inlineStr">
        <is>
          <t>BLEKINGE LÄN</t>
        </is>
      </c>
      <c r="E174" t="inlineStr">
        <is>
          <t>KARLSKRONA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1740-2020</t>
        </is>
      </c>
      <c r="B175" s="1" t="n">
        <v>43844</v>
      </c>
      <c r="C175" s="1" t="n">
        <v>45837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1838-2020</t>
        </is>
      </c>
      <c r="B176" s="1" t="n">
        <v>43844</v>
      </c>
      <c r="C176" s="1" t="n">
        <v>45837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2086-2020</t>
        </is>
      </c>
      <c r="B177" s="1" t="n">
        <v>43845</v>
      </c>
      <c r="C177" s="1" t="n">
        <v>45837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3555-2020</t>
        </is>
      </c>
      <c r="B178" s="1" t="n">
        <v>43845</v>
      </c>
      <c r="C178" s="1" t="n">
        <v>45837</v>
      </c>
      <c r="D178" t="inlineStr">
        <is>
          <t>BLEKINGE LÄN</t>
        </is>
      </c>
      <c r="E178" t="inlineStr">
        <is>
          <t>KARLSKRONA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2672-2020</t>
        </is>
      </c>
      <c r="B179" s="1" t="n">
        <v>43849</v>
      </c>
      <c r="C179" s="1" t="n">
        <v>45837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2723-2020</t>
        </is>
      </c>
      <c r="B180" s="1" t="n">
        <v>43850</v>
      </c>
      <c r="C180" s="1" t="n">
        <v>45837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3377-2020</t>
        </is>
      </c>
      <c r="B181" s="1" t="n">
        <v>43852</v>
      </c>
      <c r="C181" s="1" t="n">
        <v>45837</v>
      </c>
      <c r="D181" t="inlineStr">
        <is>
          <t>BLEKINGE LÄN</t>
        </is>
      </c>
      <c r="E181" t="inlineStr">
        <is>
          <t>KARLSKRONA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3384-2020</t>
        </is>
      </c>
      <c r="B182" s="1" t="n">
        <v>43852</v>
      </c>
      <c r="C182" s="1" t="n">
        <v>45837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3787-2020</t>
        </is>
      </c>
      <c r="B183" s="1" t="n">
        <v>43854</v>
      </c>
      <c r="C183" s="1" t="n">
        <v>45837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6607-2020</t>
        </is>
      </c>
      <c r="B184" s="1" t="n">
        <v>43867</v>
      </c>
      <c r="C184" s="1" t="n">
        <v>45837</v>
      </c>
      <c r="D184" t="inlineStr">
        <is>
          <t>BLEKINGE LÄN</t>
        </is>
      </c>
      <c r="E184" t="inlineStr">
        <is>
          <t>KARLSKRONA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6804-2020</t>
        </is>
      </c>
      <c r="B185" s="1" t="n">
        <v>43867</v>
      </c>
      <c r="C185" s="1" t="n">
        <v>45837</v>
      </c>
      <c r="D185" t="inlineStr">
        <is>
          <t>BLEKINGE LÄN</t>
        </is>
      </c>
      <c r="E185" t="inlineStr">
        <is>
          <t>KARLSKRONA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7166-2020</t>
        </is>
      </c>
      <c r="B186" s="1" t="n">
        <v>43870</v>
      </c>
      <c r="C186" s="1" t="n">
        <v>45837</v>
      </c>
      <c r="D186" t="inlineStr">
        <is>
          <t>BLEKINGE LÄN</t>
        </is>
      </c>
      <c r="E186" t="inlineStr">
        <is>
          <t>KARLSKRONA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7167-2020</t>
        </is>
      </c>
      <c r="B187" s="1" t="n">
        <v>43870</v>
      </c>
      <c r="C187" s="1" t="n">
        <v>45837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7614-2020</t>
        </is>
      </c>
      <c r="B188" s="1" t="n">
        <v>43872</v>
      </c>
      <c r="C188" s="1" t="n">
        <v>45837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8322-2020</t>
        </is>
      </c>
      <c r="B189" s="1" t="n">
        <v>43875</v>
      </c>
      <c r="C189" s="1" t="n">
        <v>45837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9102-2020</t>
        </is>
      </c>
      <c r="B190" s="1" t="n">
        <v>43879</v>
      </c>
      <c r="C190" s="1" t="n">
        <v>45837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10641-2020</t>
        </is>
      </c>
      <c r="B191" s="1" t="n">
        <v>43887</v>
      </c>
      <c r="C191" s="1" t="n">
        <v>45837</v>
      </c>
      <c r="D191" t="inlineStr">
        <is>
          <t>BLEKINGE LÄN</t>
        </is>
      </c>
      <c r="E191" t="inlineStr">
        <is>
          <t>KARLSKRONA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10637-2020</t>
        </is>
      </c>
      <c r="B192" s="1" t="n">
        <v>43887</v>
      </c>
      <c r="C192" s="1" t="n">
        <v>45837</v>
      </c>
      <c r="D192" t="inlineStr">
        <is>
          <t>BLEKINGE LÄN</t>
        </is>
      </c>
      <c r="E192" t="inlineStr">
        <is>
          <t>KARLSKRONA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10993-2020</t>
        </is>
      </c>
      <c r="B193" s="1" t="n">
        <v>43889</v>
      </c>
      <c r="C193" s="1" t="n">
        <v>45837</v>
      </c>
      <c r="D193" t="inlineStr">
        <is>
          <t>BLEKINGE LÄN</t>
        </is>
      </c>
      <c r="E193" t="inlineStr">
        <is>
          <t>KARLSKRONA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11068-2020</t>
        </is>
      </c>
      <c r="B194" s="1" t="n">
        <v>43889</v>
      </c>
      <c r="C194" s="1" t="n">
        <v>45837</v>
      </c>
      <c r="D194" t="inlineStr">
        <is>
          <t>BLEKINGE LÄN</t>
        </is>
      </c>
      <c r="E194" t="inlineStr">
        <is>
          <t>KARLSKRONA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11018-2020</t>
        </is>
      </c>
      <c r="B195" s="1" t="n">
        <v>43889</v>
      </c>
      <c r="C195" s="1" t="n">
        <v>45837</v>
      </c>
      <c r="D195" t="inlineStr">
        <is>
          <t>BLEKINGE LÄN</t>
        </is>
      </c>
      <c r="E195" t="inlineStr">
        <is>
          <t>KARLSKRONA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11924-2020</t>
        </is>
      </c>
      <c r="B196" s="1" t="n">
        <v>43894</v>
      </c>
      <c r="C196" s="1" t="n">
        <v>45837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12670-2020</t>
        </is>
      </c>
      <c r="B197" s="1" t="n">
        <v>43899</v>
      </c>
      <c r="C197" s="1" t="n">
        <v>45837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12971-2020</t>
        </is>
      </c>
      <c r="B198" s="1" t="n">
        <v>43900</v>
      </c>
      <c r="C198" s="1" t="n">
        <v>45837</v>
      </c>
      <c r="D198" t="inlineStr">
        <is>
          <t>BLEKINGE LÄN</t>
        </is>
      </c>
      <c r="E198" t="inlineStr">
        <is>
          <t>KARLSKRONA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13332-2020</t>
        </is>
      </c>
      <c r="B199" s="1" t="n">
        <v>43902</v>
      </c>
      <c r="C199" s="1" t="n">
        <v>45837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13497-2020</t>
        </is>
      </c>
      <c r="B200" s="1" t="n">
        <v>43902</v>
      </c>
      <c r="C200" s="1" t="n">
        <v>45837</v>
      </c>
      <c r="D200" t="inlineStr">
        <is>
          <t>BLEKINGE LÄN</t>
        </is>
      </c>
      <c r="E200" t="inlineStr">
        <is>
          <t>KARLSKRONA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13520-2020</t>
        </is>
      </c>
      <c r="B201" s="1" t="n">
        <v>43902</v>
      </c>
      <c r="C201" s="1" t="n">
        <v>45837</v>
      </c>
      <c r="D201" t="inlineStr">
        <is>
          <t>BLEKINGE LÄN</t>
        </is>
      </c>
      <c r="E201" t="inlineStr">
        <is>
          <t>KARLSKRONA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13551-2020</t>
        </is>
      </c>
      <c r="B202" s="1" t="n">
        <v>43902</v>
      </c>
      <c r="C202" s="1" t="n">
        <v>45837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14318-2020</t>
        </is>
      </c>
      <c r="B203" s="1" t="n">
        <v>43907</v>
      </c>
      <c r="C203" s="1" t="n">
        <v>45837</v>
      </c>
      <c r="D203" t="inlineStr">
        <is>
          <t>BLEKINGE LÄN</t>
        </is>
      </c>
      <c r="E203" t="inlineStr">
        <is>
          <t>KARLSKRONA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14289-2020</t>
        </is>
      </c>
      <c r="B204" s="1" t="n">
        <v>43907</v>
      </c>
      <c r="C204" s="1" t="n">
        <v>45837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14291-2020</t>
        </is>
      </c>
      <c r="B205" s="1" t="n">
        <v>43907</v>
      </c>
      <c r="C205" s="1" t="n">
        <v>45837</v>
      </c>
      <c r="D205" t="inlineStr">
        <is>
          <t>BLEKINGE LÄN</t>
        </is>
      </c>
      <c r="E205" t="inlineStr">
        <is>
          <t>KARLSKRONA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15208-2020</t>
        </is>
      </c>
      <c r="B206" s="1" t="n">
        <v>43913</v>
      </c>
      <c r="C206" s="1" t="n">
        <v>45837</v>
      </c>
      <c r="D206" t="inlineStr">
        <is>
          <t>BLEKINGE LÄN</t>
        </is>
      </c>
      <c r="E206" t="inlineStr">
        <is>
          <t>KARLSKRONA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15514-2020</t>
        </is>
      </c>
      <c r="B207" s="1" t="n">
        <v>43914</v>
      </c>
      <c r="C207" s="1" t="n">
        <v>45837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15573-2020</t>
        </is>
      </c>
      <c r="B208" s="1" t="n">
        <v>43914</v>
      </c>
      <c r="C208" s="1" t="n">
        <v>45837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15666-2020</t>
        </is>
      </c>
      <c r="B209" s="1" t="n">
        <v>43915</v>
      </c>
      <c r="C209" s="1" t="n">
        <v>45837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15671-2020</t>
        </is>
      </c>
      <c r="B210" s="1" t="n">
        <v>43915</v>
      </c>
      <c r="C210" s="1" t="n">
        <v>45837</v>
      </c>
      <c r="D210" t="inlineStr">
        <is>
          <t>BLEKINGE LÄN</t>
        </is>
      </c>
      <c r="E210" t="inlineStr">
        <is>
          <t>KARLSKRONA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16047-2020</t>
        </is>
      </c>
      <c r="B211" s="1" t="n">
        <v>43916</v>
      </c>
      <c r="C211" s="1" t="n">
        <v>45837</v>
      </c>
      <c r="D211" t="inlineStr">
        <is>
          <t>BLEKINGE LÄN</t>
        </is>
      </c>
      <c r="E211" t="inlineStr">
        <is>
          <t>KARLSKRONA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16124-2020</t>
        </is>
      </c>
      <c r="B212" s="1" t="n">
        <v>43916</v>
      </c>
      <c r="C212" s="1" t="n">
        <v>45837</v>
      </c>
      <c r="D212" t="inlineStr">
        <is>
          <t>BLEKINGE LÄN</t>
        </is>
      </c>
      <c r="E212" t="inlineStr">
        <is>
          <t>KARLSKRONA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16200-2020</t>
        </is>
      </c>
      <c r="B213" s="1" t="n">
        <v>43917</v>
      </c>
      <c r="C213" s="1" t="n">
        <v>45837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16498-2020</t>
        </is>
      </c>
      <c r="B214" s="1" t="n">
        <v>43920</v>
      </c>
      <c r="C214" s="1" t="n">
        <v>45837</v>
      </c>
      <c r="D214" t="inlineStr">
        <is>
          <t>BLEKINGE LÄN</t>
        </is>
      </c>
      <c r="E214" t="inlineStr">
        <is>
          <t>KARLSKRONA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16535-2020</t>
        </is>
      </c>
      <c r="B215" s="1" t="n">
        <v>43920</v>
      </c>
      <c r="C215" s="1" t="n">
        <v>45837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16500-2020</t>
        </is>
      </c>
      <c r="B216" s="1" t="n">
        <v>43920</v>
      </c>
      <c r="C216" s="1" t="n">
        <v>45837</v>
      </c>
      <c r="D216" t="inlineStr">
        <is>
          <t>BLEKINGE LÄN</t>
        </is>
      </c>
      <c r="E216" t="inlineStr">
        <is>
          <t>KARLSKRONA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16532-2020</t>
        </is>
      </c>
      <c r="B217" s="1" t="n">
        <v>43920</v>
      </c>
      <c r="C217" s="1" t="n">
        <v>45837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16854-2020</t>
        </is>
      </c>
      <c r="B218" s="1" t="n">
        <v>43921</v>
      </c>
      <c r="C218" s="1" t="n">
        <v>45837</v>
      </c>
      <c r="D218" t="inlineStr">
        <is>
          <t>BLEKINGE LÄN</t>
        </is>
      </c>
      <c r="E218" t="inlineStr">
        <is>
          <t>KARLSKRONA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17489-2020</t>
        </is>
      </c>
      <c r="B219" s="1" t="n">
        <v>43923</v>
      </c>
      <c r="C219" s="1" t="n">
        <v>45837</v>
      </c>
      <c r="D219" t="inlineStr">
        <is>
          <t>BLEKINGE LÄN</t>
        </is>
      </c>
      <c r="E219" t="inlineStr">
        <is>
          <t>KARLSKRONA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17480-2020</t>
        </is>
      </c>
      <c r="B220" s="1" t="n">
        <v>43923</v>
      </c>
      <c r="C220" s="1" t="n">
        <v>45837</v>
      </c>
      <c r="D220" t="inlineStr">
        <is>
          <t>BLEKINGE LÄN</t>
        </is>
      </c>
      <c r="E220" t="inlineStr">
        <is>
          <t>KARLSKRONA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17448-2020</t>
        </is>
      </c>
      <c r="B221" s="1" t="n">
        <v>43923</v>
      </c>
      <c r="C221" s="1" t="n">
        <v>45837</v>
      </c>
      <c r="D221" t="inlineStr">
        <is>
          <t>BLEKINGE LÄN</t>
        </is>
      </c>
      <c r="E221" t="inlineStr">
        <is>
          <t>KARLSKRONA</t>
        </is>
      </c>
      <c r="F221" t="inlineStr">
        <is>
          <t>Kyrkan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17967-2020</t>
        </is>
      </c>
      <c r="B222" s="1" t="n">
        <v>43925</v>
      </c>
      <c r="C222" s="1" t="n">
        <v>45837</v>
      </c>
      <c r="D222" t="inlineStr">
        <is>
          <t>BLEKINGE LÄN</t>
        </is>
      </c>
      <c r="E222" t="inlineStr">
        <is>
          <t>KARLSKRONA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17971-2020</t>
        </is>
      </c>
      <c r="B223" s="1" t="n">
        <v>43926</v>
      </c>
      <c r="C223" s="1" t="n">
        <v>45837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18005-2020</t>
        </is>
      </c>
      <c r="B224" s="1" t="n">
        <v>43927</v>
      </c>
      <c r="C224" s="1" t="n">
        <v>45837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18022-2020</t>
        </is>
      </c>
      <c r="B225" s="1" t="n">
        <v>43927</v>
      </c>
      <c r="C225" s="1" t="n">
        <v>45837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18017-2020</t>
        </is>
      </c>
      <c r="B226" s="1" t="n">
        <v>43927</v>
      </c>
      <c r="C226" s="1" t="n">
        <v>45837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18019-2020</t>
        </is>
      </c>
      <c r="B227" s="1" t="n">
        <v>43927</v>
      </c>
      <c r="C227" s="1" t="n">
        <v>45837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18920-2020</t>
        </is>
      </c>
      <c r="B228" s="1" t="n">
        <v>43935</v>
      </c>
      <c r="C228" s="1" t="n">
        <v>45837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19305-2020</t>
        </is>
      </c>
      <c r="B229" s="1" t="n">
        <v>43937</v>
      </c>
      <c r="C229" s="1" t="n">
        <v>45837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19301-2020</t>
        </is>
      </c>
      <c r="B230" s="1" t="n">
        <v>43937</v>
      </c>
      <c r="C230" s="1" t="n">
        <v>45837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19231-2020</t>
        </is>
      </c>
      <c r="B231" s="1" t="n">
        <v>43937</v>
      </c>
      <c r="C231" s="1" t="n">
        <v>45837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19481-2020</t>
        </is>
      </c>
      <c r="B232" s="1" t="n">
        <v>43938</v>
      </c>
      <c r="C232" s="1" t="n">
        <v>45837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20837-2020</t>
        </is>
      </c>
      <c r="B233" s="1" t="n">
        <v>43950</v>
      </c>
      <c r="C233" s="1" t="n">
        <v>45837</v>
      </c>
      <c r="D233" t="inlineStr">
        <is>
          <t>BLEKINGE LÄN</t>
        </is>
      </c>
      <c r="E233" t="inlineStr">
        <is>
          <t>KARLSKRONA</t>
        </is>
      </c>
      <c r="F233" t="inlineStr">
        <is>
          <t>Kyrkan</t>
        </is>
      </c>
      <c r="G233" t="n">
        <v>24.9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24585-2020</t>
        </is>
      </c>
      <c r="B234" s="1" t="n">
        <v>43977</v>
      </c>
      <c r="C234" s="1" t="n">
        <v>45837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24589-2020</t>
        </is>
      </c>
      <c r="B235" s="1" t="n">
        <v>43977</v>
      </c>
      <c r="C235" s="1" t="n">
        <v>45837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24590-2020</t>
        </is>
      </c>
      <c r="B236" s="1" t="n">
        <v>43977</v>
      </c>
      <c r="C236" s="1" t="n">
        <v>45837</v>
      </c>
      <c r="D236" t="inlineStr">
        <is>
          <t>BLEKINGE LÄN</t>
        </is>
      </c>
      <c r="E236" t="inlineStr">
        <is>
          <t>KARLSKRONA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25401-2020</t>
        </is>
      </c>
      <c r="B237" s="1" t="n">
        <v>43980</v>
      </c>
      <c r="C237" s="1" t="n">
        <v>45837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25402-2020</t>
        </is>
      </c>
      <c r="B238" s="1" t="n">
        <v>43980</v>
      </c>
      <c r="C238" s="1" t="n">
        <v>45837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26254-2020</t>
        </is>
      </c>
      <c r="B239" s="1" t="n">
        <v>43986</v>
      </c>
      <c r="C239" s="1" t="n">
        <v>45837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27275-2020</t>
        </is>
      </c>
      <c r="B240" s="1" t="n">
        <v>43992</v>
      </c>
      <c r="C240" s="1" t="n">
        <v>45837</v>
      </c>
      <c r="D240" t="inlineStr">
        <is>
          <t>BLEKINGE LÄN</t>
        </is>
      </c>
      <c r="E240" t="inlineStr">
        <is>
          <t>KARLSKRONA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27452-2020</t>
        </is>
      </c>
      <c r="B241" s="1" t="n">
        <v>43993</v>
      </c>
      <c r="C241" s="1" t="n">
        <v>45837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29566-2020</t>
        </is>
      </c>
      <c r="B242" s="1" t="n">
        <v>44005</v>
      </c>
      <c r="C242" s="1" t="n">
        <v>45837</v>
      </c>
      <c r="D242" t="inlineStr">
        <is>
          <t>BLEKINGE LÄN</t>
        </is>
      </c>
      <c r="E242" t="inlineStr">
        <is>
          <t>KARLSKRONA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29937-2020</t>
        </is>
      </c>
      <c r="B243" s="1" t="n">
        <v>44006</v>
      </c>
      <c r="C243" s="1" t="n">
        <v>45837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30182-2020</t>
        </is>
      </c>
      <c r="B244" s="1" t="n">
        <v>44007</v>
      </c>
      <c r="C244" s="1" t="n">
        <v>45837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30725-2020</t>
        </is>
      </c>
      <c r="B245" s="1" t="n">
        <v>44008</v>
      </c>
      <c r="C245" s="1" t="n">
        <v>45837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31962-2020</t>
        </is>
      </c>
      <c r="B246" s="1" t="n">
        <v>44014</v>
      </c>
      <c r="C246" s="1" t="n">
        <v>45837</v>
      </c>
      <c r="D246" t="inlineStr">
        <is>
          <t>BLEKINGE LÄN</t>
        </is>
      </c>
      <c r="E246" t="inlineStr">
        <is>
          <t>KARLSKRONA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32097-2020</t>
        </is>
      </c>
      <c r="B247" s="1" t="n">
        <v>44015</v>
      </c>
      <c r="C247" s="1" t="n">
        <v>45837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32575-2020</t>
        </is>
      </c>
      <c r="B248" s="1" t="n">
        <v>44018</v>
      </c>
      <c r="C248" s="1" t="n">
        <v>45837</v>
      </c>
      <c r="D248" t="inlineStr">
        <is>
          <t>BLEKINGE LÄN</t>
        </is>
      </c>
      <c r="E248" t="inlineStr">
        <is>
          <t>KARLSKRONA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32927-2020</t>
        </is>
      </c>
      <c r="B249" s="1" t="n">
        <v>44019</v>
      </c>
      <c r="C249" s="1" t="n">
        <v>45837</v>
      </c>
      <c r="D249" t="inlineStr">
        <is>
          <t>BLEKINGE LÄN</t>
        </is>
      </c>
      <c r="E249" t="inlineStr">
        <is>
          <t>KARLSKRONA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33062-2020</t>
        </is>
      </c>
      <c r="B250" s="1" t="n">
        <v>44021</v>
      </c>
      <c r="C250" s="1" t="n">
        <v>45837</v>
      </c>
      <c r="D250" t="inlineStr">
        <is>
          <t>BLEKINGE LÄN</t>
        </is>
      </c>
      <c r="E250" t="inlineStr">
        <is>
          <t>KARLSKRONA</t>
        </is>
      </c>
      <c r="G250" t="n">
        <v>21.2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33954-2020</t>
        </is>
      </c>
      <c r="B251" s="1" t="n">
        <v>44026</v>
      </c>
      <c r="C251" s="1" t="n">
        <v>45837</v>
      </c>
      <c r="D251" t="inlineStr">
        <is>
          <t>BLEKINGE LÄN</t>
        </is>
      </c>
      <c r="E251" t="inlineStr">
        <is>
          <t>KARLSKRONA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35031-2020</t>
        </is>
      </c>
      <c r="B252" s="1" t="n">
        <v>44039</v>
      </c>
      <c r="C252" s="1" t="n">
        <v>45837</v>
      </c>
      <c r="D252" t="inlineStr">
        <is>
          <t>BLEKINGE LÄN</t>
        </is>
      </c>
      <c r="E252" t="inlineStr">
        <is>
          <t>KARLSKRONA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35754-2020</t>
        </is>
      </c>
      <c r="B253" s="1" t="n">
        <v>44046</v>
      </c>
      <c r="C253" s="1" t="n">
        <v>45837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36065-2020</t>
        </is>
      </c>
      <c r="B254" s="1" t="n">
        <v>44048</v>
      </c>
      <c r="C254" s="1" t="n">
        <v>45837</v>
      </c>
      <c r="D254" t="inlineStr">
        <is>
          <t>BLEKINGE LÄN</t>
        </is>
      </c>
      <c r="E254" t="inlineStr">
        <is>
          <t>KARLSKRONA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36806-2020</t>
        </is>
      </c>
      <c r="B255" s="1" t="n">
        <v>44053</v>
      </c>
      <c r="C255" s="1" t="n">
        <v>45837</v>
      </c>
      <c r="D255" t="inlineStr">
        <is>
          <t>BLEKINGE LÄN</t>
        </is>
      </c>
      <c r="E255" t="inlineStr">
        <is>
          <t>KARLSKRONA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36873-2020</t>
        </is>
      </c>
      <c r="B256" s="1" t="n">
        <v>44053</v>
      </c>
      <c r="C256" s="1" t="n">
        <v>45837</v>
      </c>
      <c r="D256" t="inlineStr">
        <is>
          <t>BLEKINGE LÄN</t>
        </is>
      </c>
      <c r="E256" t="inlineStr">
        <is>
          <t>KARLSKRONA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36878-2020</t>
        </is>
      </c>
      <c r="B257" s="1" t="n">
        <v>44053</v>
      </c>
      <c r="C257" s="1" t="n">
        <v>45837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37218-2020</t>
        </is>
      </c>
      <c r="B258" s="1" t="n">
        <v>44054</v>
      </c>
      <c r="C258" s="1" t="n">
        <v>45837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37482-2020</t>
        </is>
      </c>
      <c r="B259" s="1" t="n">
        <v>44055</v>
      </c>
      <c r="C259" s="1" t="n">
        <v>45837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37484-2020</t>
        </is>
      </c>
      <c r="B260" s="1" t="n">
        <v>44055</v>
      </c>
      <c r="C260" s="1" t="n">
        <v>45837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37480-2020</t>
        </is>
      </c>
      <c r="B261" s="1" t="n">
        <v>44055</v>
      </c>
      <c r="C261" s="1" t="n">
        <v>45837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37485-2020</t>
        </is>
      </c>
      <c r="B262" s="1" t="n">
        <v>44055</v>
      </c>
      <c r="C262" s="1" t="n">
        <v>45837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38061-2020</t>
        </is>
      </c>
      <c r="B263" s="1" t="n">
        <v>44057</v>
      </c>
      <c r="C263" s="1" t="n">
        <v>45837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38264-2020</t>
        </is>
      </c>
      <c r="B264" s="1" t="n">
        <v>44060</v>
      </c>
      <c r="C264" s="1" t="n">
        <v>45837</v>
      </c>
      <c r="D264" t="inlineStr">
        <is>
          <t>BLEKINGE LÄN</t>
        </is>
      </c>
      <c r="E264" t="inlineStr">
        <is>
          <t>KARLSKRONA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38416-2020</t>
        </is>
      </c>
      <c r="B265" s="1" t="n">
        <v>44060</v>
      </c>
      <c r="C265" s="1" t="n">
        <v>45837</v>
      </c>
      <c r="D265" t="inlineStr">
        <is>
          <t>BLEKINGE LÄN</t>
        </is>
      </c>
      <c r="E265" t="inlineStr">
        <is>
          <t>KARLSKRONA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38306-2020</t>
        </is>
      </c>
      <c r="B266" s="1" t="n">
        <v>44060</v>
      </c>
      <c r="C266" s="1" t="n">
        <v>45837</v>
      </c>
      <c r="D266" t="inlineStr">
        <is>
          <t>BLEKINGE LÄN</t>
        </is>
      </c>
      <c r="E266" t="inlineStr">
        <is>
          <t>KARLSKRONA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38833-2020</t>
        </is>
      </c>
      <c r="B267" s="1" t="n">
        <v>44062</v>
      </c>
      <c r="C267" s="1" t="n">
        <v>45837</v>
      </c>
      <c r="D267" t="inlineStr">
        <is>
          <t>BLEKINGE LÄN</t>
        </is>
      </c>
      <c r="E267" t="inlineStr">
        <is>
          <t>KARLSKRONA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38908-2020</t>
        </is>
      </c>
      <c r="B268" s="1" t="n">
        <v>44062</v>
      </c>
      <c r="C268" s="1" t="n">
        <v>45837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38808-2020</t>
        </is>
      </c>
      <c r="B269" s="1" t="n">
        <v>44062</v>
      </c>
      <c r="C269" s="1" t="n">
        <v>45837</v>
      </c>
      <c r="D269" t="inlineStr">
        <is>
          <t>BLEKINGE LÄN</t>
        </is>
      </c>
      <c r="E269" t="inlineStr">
        <is>
          <t>KARLSKRONA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39039-2020</t>
        </is>
      </c>
      <c r="B270" s="1" t="n">
        <v>44062</v>
      </c>
      <c r="C270" s="1" t="n">
        <v>45837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40377-2020</t>
        </is>
      </c>
      <c r="B271" s="1" t="n">
        <v>44068</v>
      </c>
      <c r="C271" s="1" t="n">
        <v>45837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41198-2020</t>
        </is>
      </c>
      <c r="B272" s="1" t="n">
        <v>44071</v>
      </c>
      <c r="C272" s="1" t="n">
        <v>45837</v>
      </c>
      <c r="D272" t="inlineStr">
        <is>
          <t>BLEKINGE LÄN</t>
        </is>
      </c>
      <c r="E272" t="inlineStr">
        <is>
          <t>KARLSKRONA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41524-2020</t>
        </is>
      </c>
      <c r="B273" s="1" t="n">
        <v>44074</v>
      </c>
      <c r="C273" s="1" t="n">
        <v>45837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42216-2020</t>
        </is>
      </c>
      <c r="B274" s="1" t="n">
        <v>44075</v>
      </c>
      <c r="C274" s="1" t="n">
        <v>45837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42857-2020</t>
        </is>
      </c>
      <c r="B275" s="1" t="n">
        <v>44078</v>
      </c>
      <c r="C275" s="1" t="n">
        <v>45837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43140-2020</t>
        </is>
      </c>
      <c r="B276" s="1" t="n">
        <v>44080</v>
      </c>
      <c r="C276" s="1" t="n">
        <v>45837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43364-2020</t>
        </is>
      </c>
      <c r="B277" s="1" t="n">
        <v>44081</v>
      </c>
      <c r="C277" s="1" t="n">
        <v>45837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44028-2020</t>
        </is>
      </c>
      <c r="B278" s="1" t="n">
        <v>44083</v>
      </c>
      <c r="C278" s="1" t="n">
        <v>45837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44915-2020</t>
        </is>
      </c>
      <c r="B279" s="1" t="n">
        <v>44088</v>
      </c>
      <c r="C279" s="1" t="n">
        <v>45837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45014-2020</t>
        </is>
      </c>
      <c r="B280" s="1" t="n">
        <v>44088</v>
      </c>
      <c r="C280" s="1" t="n">
        <v>45837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45093-2020</t>
        </is>
      </c>
      <c r="B281" s="1" t="n">
        <v>44088</v>
      </c>
      <c r="C281" s="1" t="n">
        <v>45837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45587-2020</t>
        </is>
      </c>
      <c r="B282" s="1" t="n">
        <v>44090</v>
      </c>
      <c r="C282" s="1" t="n">
        <v>45837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45634-2020</t>
        </is>
      </c>
      <c r="B283" s="1" t="n">
        <v>44090</v>
      </c>
      <c r="C283" s="1" t="n">
        <v>45837</v>
      </c>
      <c r="D283" t="inlineStr">
        <is>
          <t>BLEKINGE LÄN</t>
        </is>
      </c>
      <c r="E283" t="inlineStr">
        <is>
          <t>KARLSKRONA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45656-2020</t>
        </is>
      </c>
      <c r="B284" s="1" t="n">
        <v>44090</v>
      </c>
      <c r="C284" s="1" t="n">
        <v>45837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48658-2020</t>
        </is>
      </c>
      <c r="B285" s="1" t="n">
        <v>44103</v>
      </c>
      <c r="C285" s="1" t="n">
        <v>45837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51592-2020</t>
        </is>
      </c>
      <c r="B286" s="1" t="n">
        <v>44113</v>
      </c>
      <c r="C286" s="1" t="n">
        <v>45837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51563-2020</t>
        </is>
      </c>
      <c r="B287" s="1" t="n">
        <v>44113</v>
      </c>
      <c r="C287" s="1" t="n">
        <v>45837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52111-2020</t>
        </is>
      </c>
      <c r="B288" s="1" t="n">
        <v>44117</v>
      </c>
      <c r="C288" s="1" t="n">
        <v>45837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53124-2020</t>
        </is>
      </c>
      <c r="B289" s="1" t="n">
        <v>44120</v>
      </c>
      <c r="C289" s="1" t="n">
        <v>45837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53144-2020</t>
        </is>
      </c>
      <c r="B290" s="1" t="n">
        <v>44120</v>
      </c>
      <c r="C290" s="1" t="n">
        <v>45837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53396-2020</t>
        </is>
      </c>
      <c r="B291" s="1" t="n">
        <v>44123</v>
      </c>
      <c r="C291" s="1" t="n">
        <v>45837</v>
      </c>
      <c r="D291" t="inlineStr">
        <is>
          <t>BLEKINGE LÄN</t>
        </is>
      </c>
      <c r="E291" t="inlineStr">
        <is>
          <t>KARLSKRONA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53808-2020</t>
        </is>
      </c>
      <c r="B292" s="1" t="n">
        <v>44124</v>
      </c>
      <c r="C292" s="1" t="n">
        <v>45837</v>
      </c>
      <c r="D292" t="inlineStr">
        <is>
          <t>BLEKINGE LÄN</t>
        </is>
      </c>
      <c r="E292" t="inlineStr">
        <is>
          <t>KARLSKRONA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53809-2020</t>
        </is>
      </c>
      <c r="B293" s="1" t="n">
        <v>44124</v>
      </c>
      <c r="C293" s="1" t="n">
        <v>45837</v>
      </c>
      <c r="D293" t="inlineStr">
        <is>
          <t>BLEKINGE LÄN</t>
        </is>
      </c>
      <c r="E293" t="inlineStr">
        <is>
          <t>KARLSKRONA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53940-2020</t>
        </is>
      </c>
      <c r="B294" s="1" t="n">
        <v>44125</v>
      </c>
      <c r="C294" s="1" t="n">
        <v>45837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54604-2020</t>
        </is>
      </c>
      <c r="B295" s="1" t="n">
        <v>44127</v>
      </c>
      <c r="C295" s="1" t="n">
        <v>45837</v>
      </c>
      <c r="D295" t="inlineStr">
        <is>
          <t>BLEKINGE LÄN</t>
        </is>
      </c>
      <c r="E295" t="inlineStr">
        <is>
          <t>KARLSKRONA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55966-2020</t>
        </is>
      </c>
      <c r="B296" s="1" t="n">
        <v>44131</v>
      </c>
      <c r="C296" s="1" t="n">
        <v>45837</v>
      </c>
      <c r="D296" t="inlineStr">
        <is>
          <t>BLEKINGE LÄN</t>
        </is>
      </c>
      <c r="E296" t="inlineStr">
        <is>
          <t>KARLSKRONA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55722-2020</t>
        </is>
      </c>
      <c r="B297" s="1" t="n">
        <v>44132</v>
      </c>
      <c r="C297" s="1" t="n">
        <v>45837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55715-2020</t>
        </is>
      </c>
      <c r="B298" s="1" t="n">
        <v>44132</v>
      </c>
      <c r="C298" s="1" t="n">
        <v>45837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56051-2020</t>
        </is>
      </c>
      <c r="B299" s="1" t="n">
        <v>44132</v>
      </c>
      <c r="C299" s="1" t="n">
        <v>45837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45837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56069-2020</t>
        </is>
      </c>
      <c r="B301" s="1" t="n">
        <v>44132</v>
      </c>
      <c r="C301" s="1" t="n">
        <v>45837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56063-2020</t>
        </is>
      </c>
      <c r="B302" s="1" t="n">
        <v>44133</v>
      </c>
      <c r="C302" s="1" t="n">
        <v>45837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56386-2020</t>
        </is>
      </c>
      <c r="B303" s="1" t="n">
        <v>44136</v>
      </c>
      <c r="C303" s="1" t="n">
        <v>45837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58795-2020</t>
        </is>
      </c>
      <c r="B304" s="1" t="n">
        <v>44139</v>
      </c>
      <c r="C304" s="1" t="n">
        <v>45837</v>
      </c>
      <c r="D304" t="inlineStr">
        <is>
          <t>BLEKINGE LÄN</t>
        </is>
      </c>
      <c r="E304" t="inlineStr">
        <is>
          <t>KARLSKRONA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58786-2020</t>
        </is>
      </c>
      <c r="B305" s="1" t="n">
        <v>44139</v>
      </c>
      <c r="C305" s="1" t="n">
        <v>45837</v>
      </c>
      <c r="D305" t="inlineStr">
        <is>
          <t>BLEKINGE LÄN</t>
        </is>
      </c>
      <c r="E305" t="inlineStr">
        <is>
          <t>KARLSKRONA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57675-2020</t>
        </is>
      </c>
      <c r="B306" s="1" t="n">
        <v>44140</v>
      </c>
      <c r="C306" s="1" t="n">
        <v>45837</v>
      </c>
      <c r="D306" t="inlineStr">
        <is>
          <t>BLEKINGE LÄN</t>
        </is>
      </c>
      <c r="E306" t="inlineStr">
        <is>
          <t>KARLSKRONA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57670-2020</t>
        </is>
      </c>
      <c r="B307" s="1" t="n">
        <v>44140</v>
      </c>
      <c r="C307" s="1" t="n">
        <v>45837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57917-2020</t>
        </is>
      </c>
      <c r="B308" s="1" t="n">
        <v>44140</v>
      </c>
      <c r="C308" s="1" t="n">
        <v>45837</v>
      </c>
      <c r="D308" t="inlineStr">
        <is>
          <t>BLEKINGE LÄN</t>
        </is>
      </c>
      <c r="E308" t="inlineStr">
        <is>
          <t>KARLSKRONA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58108-2020</t>
        </is>
      </c>
      <c r="B309" s="1" t="n">
        <v>44144</v>
      </c>
      <c r="C309" s="1" t="n">
        <v>45837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58976-2020</t>
        </is>
      </c>
      <c r="B310" s="1" t="n">
        <v>44146</v>
      </c>
      <c r="C310" s="1" t="n">
        <v>45837</v>
      </c>
      <c r="D310" t="inlineStr">
        <is>
          <t>BLEKINGE LÄN</t>
        </is>
      </c>
      <c r="E310" t="inlineStr">
        <is>
          <t>KARLSKRONA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58908-2020</t>
        </is>
      </c>
      <c r="B311" s="1" t="n">
        <v>44146</v>
      </c>
      <c r="C311" s="1" t="n">
        <v>45837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60003-2020</t>
        </is>
      </c>
      <c r="B312" s="1" t="n">
        <v>44151</v>
      </c>
      <c r="C312" s="1" t="n">
        <v>45837</v>
      </c>
      <c r="D312" t="inlineStr">
        <is>
          <t>BLEKINGE LÄN</t>
        </is>
      </c>
      <c r="E312" t="inlineStr">
        <is>
          <t>KARLSKRONA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60353-2020</t>
        </is>
      </c>
      <c r="B313" s="1" t="n">
        <v>44152</v>
      </c>
      <c r="C313" s="1" t="n">
        <v>45837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60388-2020</t>
        </is>
      </c>
      <c r="B314" s="1" t="n">
        <v>44152</v>
      </c>
      <c r="C314" s="1" t="n">
        <v>45837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60558-2020</t>
        </is>
      </c>
      <c r="B315" s="1" t="n">
        <v>44153</v>
      </c>
      <c r="C315" s="1" t="n">
        <v>45837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61099-2020</t>
        </is>
      </c>
      <c r="B316" s="1" t="n">
        <v>44154</v>
      </c>
      <c r="C316" s="1" t="n">
        <v>45837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63846-2020</t>
        </is>
      </c>
      <c r="B317" s="1" t="n">
        <v>44166</v>
      </c>
      <c r="C317" s="1" t="n">
        <v>45837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64075-2020</t>
        </is>
      </c>
      <c r="B318" s="1" t="n">
        <v>44167</v>
      </c>
      <c r="C318" s="1" t="n">
        <v>45837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65346-2020</t>
        </is>
      </c>
      <c r="B319" s="1" t="n">
        <v>44169</v>
      </c>
      <c r="C319" s="1" t="n">
        <v>45837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65790-2020</t>
        </is>
      </c>
      <c r="B320" s="1" t="n">
        <v>44174</v>
      </c>
      <c r="C320" s="1" t="n">
        <v>45837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66620-2020</t>
        </is>
      </c>
      <c r="B321" s="1" t="n">
        <v>44179</v>
      </c>
      <c r="C321" s="1" t="n">
        <v>45837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67070-2020</t>
        </is>
      </c>
      <c r="B322" s="1" t="n">
        <v>44179</v>
      </c>
      <c r="C322" s="1" t="n">
        <v>45837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68579-2020</t>
        </is>
      </c>
      <c r="B323" s="1" t="n">
        <v>44186</v>
      </c>
      <c r="C323" s="1" t="n">
        <v>45837</v>
      </c>
      <c r="D323" t="inlineStr">
        <is>
          <t>BLEKINGE LÄN</t>
        </is>
      </c>
      <c r="E323" t="inlineStr">
        <is>
          <t>KARLSKRONA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69142-2020</t>
        </is>
      </c>
      <c r="B324" s="1" t="n">
        <v>44188</v>
      </c>
      <c r="C324" s="1" t="n">
        <v>45837</v>
      </c>
      <c r="D324" t="inlineStr">
        <is>
          <t>BLEKINGE LÄN</t>
        </is>
      </c>
      <c r="E324" t="inlineStr">
        <is>
          <t>KARLSKRONA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69049-2020</t>
        </is>
      </c>
      <c r="B325" s="1" t="n">
        <v>44188</v>
      </c>
      <c r="C325" s="1" t="n">
        <v>45837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99-2021</t>
        </is>
      </c>
      <c r="B326" s="1" t="n">
        <v>44200</v>
      </c>
      <c r="C326" s="1" t="n">
        <v>45837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160-2021</t>
        </is>
      </c>
      <c r="B327" s="1" t="n">
        <v>44200</v>
      </c>
      <c r="C327" s="1" t="n">
        <v>45837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656-2021</t>
        </is>
      </c>
      <c r="B328" s="1" t="n">
        <v>44202</v>
      </c>
      <c r="C328" s="1" t="n">
        <v>45837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739-2021</t>
        </is>
      </c>
      <c r="B329" s="1" t="n">
        <v>44204</v>
      </c>
      <c r="C329" s="1" t="n">
        <v>45837</v>
      </c>
      <c r="D329" t="inlineStr">
        <is>
          <t>BLEKINGE LÄN</t>
        </is>
      </c>
      <c r="E329" t="inlineStr">
        <is>
          <t>KARLSKRONA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758-2021</t>
        </is>
      </c>
      <c r="B330" s="1" t="n">
        <v>44204</v>
      </c>
      <c r="C330" s="1" t="n">
        <v>45837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728-2021</t>
        </is>
      </c>
      <c r="B331" s="1" t="n">
        <v>44204</v>
      </c>
      <c r="C331" s="1" t="n">
        <v>45837</v>
      </c>
      <c r="D331" t="inlineStr">
        <is>
          <t>BLEKINGE LÄN</t>
        </is>
      </c>
      <c r="E331" t="inlineStr">
        <is>
          <t>KARLSKRONA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883-2021</t>
        </is>
      </c>
      <c r="B332" s="1" t="n">
        <v>44206</v>
      </c>
      <c r="C332" s="1" t="n">
        <v>45837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929-2021</t>
        </is>
      </c>
      <c r="B333" s="1" t="n">
        <v>44207</v>
      </c>
      <c r="C333" s="1" t="n">
        <v>45837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1380-2021</t>
        </is>
      </c>
      <c r="B334" s="1" t="n">
        <v>44208</v>
      </c>
      <c r="C334" s="1" t="n">
        <v>45837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1456-2021</t>
        </is>
      </c>
      <c r="B335" s="1" t="n">
        <v>44208</v>
      </c>
      <c r="C335" s="1" t="n">
        <v>45837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1458-2021</t>
        </is>
      </c>
      <c r="B336" s="1" t="n">
        <v>44208</v>
      </c>
      <c r="C336" s="1" t="n">
        <v>45837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1676-2021</t>
        </is>
      </c>
      <c r="B337" s="1" t="n">
        <v>44209</v>
      </c>
      <c r="C337" s="1" t="n">
        <v>45837</v>
      </c>
      <c r="D337" t="inlineStr">
        <is>
          <t>BLEKINGE LÄN</t>
        </is>
      </c>
      <c r="E337" t="inlineStr">
        <is>
          <t>KARLSKRONA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2513-2021</t>
        </is>
      </c>
      <c r="B338" s="1" t="n">
        <v>44211</v>
      </c>
      <c r="C338" s="1" t="n">
        <v>45837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3269-2021</t>
        </is>
      </c>
      <c r="B339" s="1" t="n">
        <v>44217</v>
      </c>
      <c r="C339" s="1" t="n">
        <v>45837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4312-2021</t>
        </is>
      </c>
      <c r="B340" s="1" t="n">
        <v>44222</v>
      </c>
      <c r="C340" s="1" t="n">
        <v>45837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4143-2021</t>
        </is>
      </c>
      <c r="B341" s="1" t="n">
        <v>44223</v>
      </c>
      <c r="C341" s="1" t="n">
        <v>45837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4145-2021</t>
        </is>
      </c>
      <c r="B342" s="1" t="n">
        <v>44223</v>
      </c>
      <c r="C342" s="1" t="n">
        <v>45837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4709-2021</t>
        </is>
      </c>
      <c r="B343" s="1" t="n">
        <v>44225</v>
      </c>
      <c r="C343" s="1" t="n">
        <v>45837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4713-2021</t>
        </is>
      </c>
      <c r="B344" s="1" t="n">
        <v>44225</v>
      </c>
      <c r="C344" s="1" t="n">
        <v>45837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4785-2021</t>
        </is>
      </c>
      <c r="B345" s="1" t="n">
        <v>44225</v>
      </c>
      <c r="C345" s="1" t="n">
        <v>45837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5626-2021</t>
        </is>
      </c>
      <c r="B346" s="1" t="n">
        <v>44230</v>
      </c>
      <c r="C346" s="1" t="n">
        <v>45837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6411-2021</t>
        </is>
      </c>
      <c r="B347" s="1" t="n">
        <v>44235</v>
      </c>
      <c r="C347" s="1" t="n">
        <v>45837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6229-2021</t>
        </is>
      </c>
      <c r="B348" s="1" t="n">
        <v>44235</v>
      </c>
      <c r="C348" s="1" t="n">
        <v>45837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6419-2021</t>
        </is>
      </c>
      <c r="B349" s="1" t="n">
        <v>44235</v>
      </c>
      <c r="C349" s="1" t="n">
        <v>45837</v>
      </c>
      <c r="D349" t="inlineStr">
        <is>
          <t>BLEKINGE LÄN</t>
        </is>
      </c>
      <c r="E349" t="inlineStr">
        <is>
          <t>KARLSKRONA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6413-2021</t>
        </is>
      </c>
      <c r="B350" s="1" t="n">
        <v>44235</v>
      </c>
      <c r="C350" s="1" t="n">
        <v>45837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7600-2021</t>
        </is>
      </c>
      <c r="B351" s="1" t="n">
        <v>44241</v>
      </c>
      <c r="C351" s="1" t="n">
        <v>45837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7621-2021</t>
        </is>
      </c>
      <c r="B352" s="1" t="n">
        <v>44242</v>
      </c>
      <c r="C352" s="1" t="n">
        <v>45837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8449-2021</t>
        </is>
      </c>
      <c r="B353" s="1" t="n">
        <v>44245</v>
      </c>
      <c r="C353" s="1" t="n">
        <v>45837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9032-2021</t>
        </is>
      </c>
      <c r="B354" s="1" t="n">
        <v>44249</v>
      </c>
      <c r="C354" s="1" t="n">
        <v>45837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9884-2021</t>
        </is>
      </c>
      <c r="B355" s="1" t="n">
        <v>44253</v>
      </c>
      <c r="C355" s="1" t="n">
        <v>45837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10138-2021</t>
        </is>
      </c>
      <c r="B356" s="1" t="n">
        <v>44256</v>
      </c>
      <c r="C356" s="1" t="n">
        <v>45837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10325-2021</t>
        </is>
      </c>
      <c r="B357" s="1" t="n">
        <v>44257</v>
      </c>
      <c r="C357" s="1" t="n">
        <v>45837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45837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10760-2021</t>
        </is>
      </c>
      <c r="B359" s="1" t="n">
        <v>44259</v>
      </c>
      <c r="C359" s="1" t="n">
        <v>45837</v>
      </c>
      <c r="D359" t="inlineStr">
        <is>
          <t>BLEKINGE LÄN</t>
        </is>
      </c>
      <c r="E359" t="inlineStr">
        <is>
          <t>KARLSKRONA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</v>
      </c>
      <c r="C360" s="1" t="n">
        <v>45837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45837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12333-2021</t>
        </is>
      </c>
      <c r="B362" s="1" t="n">
        <v>44267</v>
      </c>
      <c r="C362" s="1" t="n">
        <v>45837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12557-2021</t>
        </is>
      </c>
      <c r="B363" s="1" t="n">
        <v>44270</v>
      </c>
      <c r="C363" s="1" t="n">
        <v>45837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45837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12603-2021</t>
        </is>
      </c>
      <c r="B365" s="1" t="n">
        <v>44270</v>
      </c>
      <c r="C365" s="1" t="n">
        <v>45837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13110-2021</t>
        </is>
      </c>
      <c r="B366" s="1" t="n">
        <v>44272</v>
      </c>
      <c r="C366" s="1" t="n">
        <v>45837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13384-2021</t>
        </is>
      </c>
      <c r="B367" s="1" t="n">
        <v>44273</v>
      </c>
      <c r="C367" s="1" t="n">
        <v>45837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13377-2021</t>
        </is>
      </c>
      <c r="B368" s="1" t="n">
        <v>44273</v>
      </c>
      <c r="C368" s="1" t="n">
        <v>45837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13837-2021</t>
        </is>
      </c>
      <c r="B369" s="1" t="n">
        <v>44275</v>
      </c>
      <c r="C369" s="1" t="n">
        <v>45837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14530-2021</t>
        </is>
      </c>
      <c r="B370" s="1" t="n">
        <v>44279</v>
      </c>
      <c r="C370" s="1" t="n">
        <v>45837</v>
      </c>
      <c r="D370" t="inlineStr">
        <is>
          <t>BLEKINGE LÄN</t>
        </is>
      </c>
      <c r="E370" t="inlineStr">
        <is>
          <t>KARLSKRONA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14576-2021</t>
        </is>
      </c>
      <c r="B371" s="1" t="n">
        <v>44279</v>
      </c>
      <c r="C371" s="1" t="n">
        <v>45837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14971-2021</t>
        </is>
      </c>
      <c r="B372" s="1" t="n">
        <v>44281</v>
      </c>
      <c r="C372" s="1" t="n">
        <v>45837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45837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15221-2021</t>
        </is>
      </c>
      <c r="B374" s="1" t="n">
        <v>44284</v>
      </c>
      <c r="C374" s="1" t="n">
        <v>45837</v>
      </c>
      <c r="D374" t="inlineStr">
        <is>
          <t>BLEKINGE LÄN</t>
        </is>
      </c>
      <c r="E374" t="inlineStr">
        <is>
          <t>KARLSKRONA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15266-2021</t>
        </is>
      </c>
      <c r="B375" s="1" t="n">
        <v>44284</v>
      </c>
      <c r="C375" s="1" t="n">
        <v>45837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15466-2021</t>
        </is>
      </c>
      <c r="B376" s="1" t="n">
        <v>44285</v>
      </c>
      <c r="C376" s="1" t="n">
        <v>45837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</v>
      </c>
      <c r="C377" s="1" t="n">
        <v>45837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15462-2021</t>
        </is>
      </c>
      <c r="B378" s="1" t="n">
        <v>44285</v>
      </c>
      <c r="C378" s="1" t="n">
        <v>45837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</v>
      </c>
      <c r="C379" s="1" t="n">
        <v>45837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15873-2021</t>
        </is>
      </c>
      <c r="B380" s="1" t="n">
        <v>44286</v>
      </c>
      <c r="C380" s="1" t="n">
        <v>45837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15791-2021</t>
        </is>
      </c>
      <c r="B381" s="1" t="n">
        <v>44286</v>
      </c>
      <c r="C381" s="1" t="n">
        <v>45837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15874-2021</t>
        </is>
      </c>
      <c r="B382" s="1" t="n">
        <v>44286</v>
      </c>
      <c r="C382" s="1" t="n">
        <v>45837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16267-2021</t>
        </is>
      </c>
      <c r="B383" s="1" t="n">
        <v>44292</v>
      </c>
      <c r="C383" s="1" t="n">
        <v>45837</v>
      </c>
      <c r="D383" t="inlineStr">
        <is>
          <t>BLEKINGE LÄN</t>
        </is>
      </c>
      <c r="E383" t="inlineStr">
        <is>
          <t>KARLSKRONA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16968-2021</t>
        </is>
      </c>
      <c r="B384" s="1" t="n">
        <v>44295</v>
      </c>
      <c r="C384" s="1" t="n">
        <v>45837</v>
      </c>
      <c r="D384" t="inlineStr">
        <is>
          <t>BLEKINGE LÄN</t>
        </is>
      </c>
      <c r="E384" t="inlineStr">
        <is>
          <t>KARLSKRONA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16960-2021</t>
        </is>
      </c>
      <c r="B385" s="1" t="n">
        <v>44295</v>
      </c>
      <c r="C385" s="1" t="n">
        <v>45837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</v>
      </c>
      <c r="C386" s="1" t="n">
        <v>45837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17647-2021</t>
        </is>
      </c>
      <c r="B387" s="1" t="n">
        <v>44300</v>
      </c>
      <c r="C387" s="1" t="n">
        <v>45837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17670-2021</t>
        </is>
      </c>
      <c r="B388" s="1" t="n">
        <v>44300</v>
      </c>
      <c r="C388" s="1" t="n">
        <v>45837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18243-2021</t>
        </is>
      </c>
      <c r="B389" s="1" t="n">
        <v>44302</v>
      </c>
      <c r="C389" s="1" t="n">
        <v>45837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18074-2021</t>
        </is>
      </c>
      <c r="B390" s="1" t="n">
        <v>44302</v>
      </c>
      <c r="C390" s="1" t="n">
        <v>45837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18136-2021</t>
        </is>
      </c>
      <c r="B391" s="1" t="n">
        <v>44302</v>
      </c>
      <c r="C391" s="1" t="n">
        <v>45837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18242-2021</t>
        </is>
      </c>
      <c r="B392" s="1" t="n">
        <v>44302</v>
      </c>
      <c r="C392" s="1" t="n">
        <v>45837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18140-2021</t>
        </is>
      </c>
      <c r="B393" s="1" t="n">
        <v>44302</v>
      </c>
      <c r="C393" s="1" t="n">
        <v>45837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18288-2021</t>
        </is>
      </c>
      <c r="B394" s="1" t="n">
        <v>44305</v>
      </c>
      <c r="C394" s="1" t="n">
        <v>45837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18400-2021</t>
        </is>
      </c>
      <c r="B395" s="1" t="n">
        <v>44305</v>
      </c>
      <c r="C395" s="1" t="n">
        <v>45837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45837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18465-2021</t>
        </is>
      </c>
      <c r="B397" s="1" t="n">
        <v>44305</v>
      </c>
      <c r="C397" s="1" t="n">
        <v>45837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45837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19261-2021</t>
        </is>
      </c>
      <c r="B399" s="1" t="n">
        <v>44309</v>
      </c>
      <c r="C399" s="1" t="n">
        <v>45837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20278-2021</t>
        </is>
      </c>
      <c r="B400" s="1" t="n">
        <v>44314</v>
      </c>
      <c r="C400" s="1" t="n">
        <v>45837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</v>
      </c>
      <c r="C401" s="1" t="n">
        <v>45837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22008-2021</t>
        </is>
      </c>
      <c r="B402" s="1" t="n">
        <v>44323</v>
      </c>
      <c r="C402" s="1" t="n">
        <v>45837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22000-2021</t>
        </is>
      </c>
      <c r="B403" s="1" t="n">
        <v>44323</v>
      </c>
      <c r="C403" s="1" t="n">
        <v>45837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22176-2021</t>
        </is>
      </c>
      <c r="B404" s="1" t="n">
        <v>44325</v>
      </c>
      <c r="C404" s="1" t="n">
        <v>45837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22730-2021</t>
        </is>
      </c>
      <c r="B405" s="1" t="n">
        <v>44327</v>
      </c>
      <c r="C405" s="1" t="n">
        <v>45837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23326-2021</t>
        </is>
      </c>
      <c r="B406" s="1" t="n">
        <v>44333</v>
      </c>
      <c r="C406" s="1" t="n">
        <v>45837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24168-2021</t>
        </is>
      </c>
      <c r="B407" s="1" t="n">
        <v>44336</v>
      </c>
      <c r="C407" s="1" t="n">
        <v>45837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25326-2021</t>
        </is>
      </c>
      <c r="B408" s="1" t="n">
        <v>44342</v>
      </c>
      <c r="C408" s="1" t="n">
        <v>45837</v>
      </c>
      <c r="D408" t="inlineStr">
        <is>
          <t>BLEKINGE LÄN</t>
        </is>
      </c>
      <c r="E408" t="inlineStr">
        <is>
          <t>KARLSKRONA</t>
        </is>
      </c>
      <c r="G408" t="n">
        <v>18.5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25472-2021</t>
        </is>
      </c>
      <c r="B409" s="1" t="n">
        <v>44342</v>
      </c>
      <c r="C409" s="1" t="n">
        <v>45837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25474-2021</t>
        </is>
      </c>
      <c r="B410" s="1" t="n">
        <v>44342</v>
      </c>
      <c r="C410" s="1" t="n">
        <v>45837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45837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25689-2021</t>
        </is>
      </c>
      <c r="B412" s="1" t="n">
        <v>44343</v>
      </c>
      <c r="C412" s="1" t="n">
        <v>45837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26618-2021</t>
        </is>
      </c>
      <c r="B413" s="1" t="n">
        <v>44348</v>
      </c>
      <c r="C413" s="1" t="n">
        <v>45837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26624-2021</t>
        </is>
      </c>
      <c r="B414" s="1" t="n">
        <v>44348</v>
      </c>
      <c r="C414" s="1" t="n">
        <v>45837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26790-2021</t>
        </is>
      </c>
      <c r="B415" s="1" t="n">
        <v>44349</v>
      </c>
      <c r="C415" s="1" t="n">
        <v>45837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27073-2021</t>
        </is>
      </c>
      <c r="B416" s="1" t="n">
        <v>44350</v>
      </c>
      <c r="C416" s="1" t="n">
        <v>45837</v>
      </c>
      <c r="D416" t="inlineStr">
        <is>
          <t>BLEKINGE LÄN</t>
        </is>
      </c>
      <c r="E416" t="inlineStr">
        <is>
          <t>KARLSKRONA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27067-2021</t>
        </is>
      </c>
      <c r="B417" s="1" t="n">
        <v>44350</v>
      </c>
      <c r="C417" s="1" t="n">
        <v>45837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27114-2021</t>
        </is>
      </c>
      <c r="B418" s="1" t="n">
        <v>44350</v>
      </c>
      <c r="C418" s="1" t="n">
        <v>45837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27130-2021</t>
        </is>
      </c>
      <c r="B419" s="1" t="n">
        <v>44350</v>
      </c>
      <c r="C419" s="1" t="n">
        <v>45837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27841-2021</t>
        </is>
      </c>
      <c r="B420" s="1" t="n">
        <v>44354</v>
      </c>
      <c r="C420" s="1" t="n">
        <v>45837</v>
      </c>
      <c r="D420" t="inlineStr">
        <is>
          <t>BLEKINGE LÄN</t>
        </is>
      </c>
      <c r="E420" t="inlineStr">
        <is>
          <t>KARLSKRONA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28333-2021</t>
        </is>
      </c>
      <c r="B421" s="1" t="n">
        <v>44356</v>
      </c>
      <c r="C421" s="1" t="n">
        <v>45837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28408-2021</t>
        </is>
      </c>
      <c r="B422" s="1" t="n">
        <v>44356</v>
      </c>
      <c r="C422" s="1" t="n">
        <v>45837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29275-2021</t>
        </is>
      </c>
      <c r="B423" s="1" t="n">
        <v>44361</v>
      </c>
      <c r="C423" s="1" t="n">
        <v>45837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29444-2021</t>
        </is>
      </c>
      <c r="B424" s="1" t="n">
        <v>44361</v>
      </c>
      <c r="C424" s="1" t="n">
        <v>45837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30333-2021</t>
        </is>
      </c>
      <c r="B425" s="1" t="n">
        <v>44364</v>
      </c>
      <c r="C425" s="1" t="n">
        <v>45837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30960-2021</t>
        </is>
      </c>
      <c r="B426" s="1" t="n">
        <v>44365</v>
      </c>
      <c r="C426" s="1" t="n">
        <v>45837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30975-2021</t>
        </is>
      </c>
      <c r="B427" s="1" t="n">
        <v>44365</v>
      </c>
      <c r="C427" s="1" t="n">
        <v>45837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45837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31174-2021</t>
        </is>
      </c>
      <c r="B429" s="1" t="n">
        <v>44368</v>
      </c>
      <c r="C429" s="1" t="n">
        <v>45837</v>
      </c>
      <c r="D429" t="inlineStr">
        <is>
          <t>BLEKINGE LÄN</t>
        </is>
      </c>
      <c r="E429" t="inlineStr">
        <is>
          <t>KARLSKRONA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31266-2021</t>
        </is>
      </c>
      <c r="B430" s="1" t="n">
        <v>44368</v>
      </c>
      <c r="C430" s="1" t="n">
        <v>45837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32517-2021</t>
        </is>
      </c>
      <c r="B431" s="1" t="n">
        <v>44374</v>
      </c>
      <c r="C431" s="1" t="n">
        <v>45837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32637-2021</t>
        </is>
      </c>
      <c r="B432" s="1" t="n">
        <v>44375</v>
      </c>
      <c r="C432" s="1" t="n">
        <v>45837</v>
      </c>
      <c r="D432" t="inlineStr">
        <is>
          <t>BLEKINGE LÄN</t>
        </is>
      </c>
      <c r="E432" t="inlineStr">
        <is>
          <t>KARLSKRONA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32632-2021</t>
        </is>
      </c>
      <c r="B433" s="1" t="n">
        <v>44375</v>
      </c>
      <c r="C433" s="1" t="n">
        <v>45837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33518-2021</t>
        </is>
      </c>
      <c r="B434" s="1" t="n">
        <v>44377</v>
      </c>
      <c r="C434" s="1" t="n">
        <v>45837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35036-2021</t>
        </is>
      </c>
      <c r="B435" s="1" t="n">
        <v>44383</v>
      </c>
      <c r="C435" s="1" t="n">
        <v>45837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35033-2021</t>
        </is>
      </c>
      <c r="B436" s="1" t="n">
        <v>44383</v>
      </c>
      <c r="C436" s="1" t="n">
        <v>45837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35509-2021</t>
        </is>
      </c>
      <c r="B437" s="1" t="n">
        <v>44384</v>
      </c>
      <c r="C437" s="1" t="n">
        <v>45837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35510-2021</t>
        </is>
      </c>
      <c r="B438" s="1" t="n">
        <v>44384</v>
      </c>
      <c r="C438" s="1" t="n">
        <v>45837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36508-2021</t>
        </is>
      </c>
      <c r="B439" s="1" t="n">
        <v>44391</v>
      </c>
      <c r="C439" s="1" t="n">
        <v>45837</v>
      </c>
      <c r="D439" t="inlineStr">
        <is>
          <t>BLEKINGE LÄN</t>
        </is>
      </c>
      <c r="E439" t="inlineStr">
        <is>
          <t>KARLSKRONA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36496-2021</t>
        </is>
      </c>
      <c r="B440" s="1" t="n">
        <v>44391</v>
      </c>
      <c r="C440" s="1" t="n">
        <v>45837</v>
      </c>
      <c r="D440" t="inlineStr">
        <is>
          <t>BLEKINGE LÄN</t>
        </is>
      </c>
      <c r="E440" t="inlineStr">
        <is>
          <t>KARLSKRONA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37295-2021</t>
        </is>
      </c>
      <c r="B441" s="1" t="n">
        <v>44397</v>
      </c>
      <c r="C441" s="1" t="n">
        <v>45837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37400-2021</t>
        </is>
      </c>
      <c r="B442" s="1" t="n">
        <v>44398</v>
      </c>
      <c r="C442" s="1" t="n">
        <v>45837</v>
      </c>
      <c r="D442" t="inlineStr">
        <is>
          <t>BLEKINGE LÄN</t>
        </is>
      </c>
      <c r="E442" t="inlineStr">
        <is>
          <t>KARLSKRONA</t>
        </is>
      </c>
      <c r="G442" t="n">
        <v>23.4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37578-2021</t>
        </is>
      </c>
      <c r="B443" s="1" t="n">
        <v>44399</v>
      </c>
      <c r="C443" s="1" t="n">
        <v>45837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37577-2021</t>
        </is>
      </c>
      <c r="B444" s="1" t="n">
        <v>44399</v>
      </c>
      <c r="C444" s="1" t="n">
        <v>45837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37499-2021</t>
        </is>
      </c>
      <c r="B445" s="1" t="n">
        <v>44399</v>
      </c>
      <c r="C445" s="1" t="n">
        <v>45837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38389-2021</t>
        </is>
      </c>
      <c r="B446" s="1" t="n">
        <v>44406</v>
      </c>
      <c r="C446" s="1" t="n">
        <v>45837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38415-2021</t>
        </is>
      </c>
      <c r="B447" s="1" t="n">
        <v>44406</v>
      </c>
      <c r="C447" s="1" t="n">
        <v>45837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38817-2021</t>
        </is>
      </c>
      <c r="B448" s="1" t="n">
        <v>44411</v>
      </c>
      <c r="C448" s="1" t="n">
        <v>45837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39072-2021</t>
        </is>
      </c>
      <c r="B449" s="1" t="n">
        <v>44411</v>
      </c>
      <c r="C449" s="1" t="n">
        <v>45837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39081-2021</t>
        </is>
      </c>
      <c r="B450" s="1" t="n">
        <v>44411</v>
      </c>
      <c r="C450" s="1" t="n">
        <v>45837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40586-2021</t>
        </is>
      </c>
      <c r="B451" s="1" t="n">
        <v>44420</v>
      </c>
      <c r="C451" s="1" t="n">
        <v>45837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40788-2021</t>
        </is>
      </c>
      <c r="B452" s="1" t="n">
        <v>44420</v>
      </c>
      <c r="C452" s="1" t="n">
        <v>45837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41033-2021</t>
        </is>
      </c>
      <c r="B453" s="1" t="n">
        <v>44421</v>
      </c>
      <c r="C453" s="1" t="n">
        <v>45837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41035-2021</t>
        </is>
      </c>
      <c r="B454" s="1" t="n">
        <v>44421</v>
      </c>
      <c r="C454" s="1" t="n">
        <v>45837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41248-2021</t>
        </is>
      </c>
      <c r="B455" s="1" t="n">
        <v>44424</v>
      </c>
      <c r="C455" s="1" t="n">
        <v>45837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41618-2021</t>
        </is>
      </c>
      <c r="B456" s="1" t="n">
        <v>44425</v>
      </c>
      <c r="C456" s="1" t="n">
        <v>45837</v>
      </c>
      <c r="D456" t="inlineStr">
        <is>
          <t>BLEKINGE LÄN</t>
        </is>
      </c>
      <c r="E456" t="inlineStr">
        <is>
          <t>KARLSKRONA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43353-2021</t>
        </is>
      </c>
      <c r="B457" s="1" t="n">
        <v>44432</v>
      </c>
      <c r="C457" s="1" t="n">
        <v>45837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45837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43813-2021</t>
        </is>
      </c>
      <c r="B459" s="1" t="n">
        <v>44433</v>
      </c>
      <c r="C459" s="1" t="n">
        <v>45837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44114-2021</t>
        </is>
      </c>
      <c r="B460" s="1" t="n">
        <v>44434</v>
      </c>
      <c r="C460" s="1" t="n">
        <v>45837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44471-2021</t>
        </is>
      </c>
      <c r="B461" s="1" t="n">
        <v>44435</v>
      </c>
      <c r="C461" s="1" t="n">
        <v>45837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44489-2021</t>
        </is>
      </c>
      <c r="B462" s="1" t="n">
        <v>44435</v>
      </c>
      <c r="C462" s="1" t="n">
        <v>45837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45135-2021</t>
        </is>
      </c>
      <c r="B463" s="1" t="n">
        <v>44439</v>
      </c>
      <c r="C463" s="1" t="n">
        <v>45837</v>
      </c>
      <c r="D463" t="inlineStr">
        <is>
          <t>BLEKINGE LÄN</t>
        </is>
      </c>
      <c r="E463" t="inlineStr">
        <is>
          <t>KARLSKRONA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</v>
      </c>
      <c r="C464" s="1" t="n">
        <v>45837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45605-2021</t>
        </is>
      </c>
      <c r="B465" s="1" t="n">
        <v>44440</v>
      </c>
      <c r="C465" s="1" t="n">
        <v>45837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45837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45990-2021</t>
        </is>
      </c>
      <c r="B467" s="1" t="n">
        <v>44441</v>
      </c>
      <c r="C467" s="1" t="n">
        <v>45837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45935-2021</t>
        </is>
      </c>
      <c r="B468" s="1" t="n">
        <v>44441</v>
      </c>
      <c r="C468" s="1" t="n">
        <v>45837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45996-2021</t>
        </is>
      </c>
      <c r="B469" s="1" t="n">
        <v>44441</v>
      </c>
      <c r="C469" s="1" t="n">
        <v>45837</v>
      </c>
      <c r="D469" t="inlineStr">
        <is>
          <t>BLEKINGE LÄN</t>
        </is>
      </c>
      <c r="E469" t="inlineStr">
        <is>
          <t>KARLSKRONA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45997-2021</t>
        </is>
      </c>
      <c r="B470" s="1" t="n">
        <v>44441</v>
      </c>
      <c r="C470" s="1" t="n">
        <v>45837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46311-2021</t>
        </is>
      </c>
      <c r="B471" s="1" t="n">
        <v>44442</v>
      </c>
      <c r="C471" s="1" t="n">
        <v>45837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46712-2021</t>
        </is>
      </c>
      <c r="B472" s="1" t="n">
        <v>44445</v>
      </c>
      <c r="C472" s="1" t="n">
        <v>45837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46890-2021</t>
        </is>
      </c>
      <c r="B473" s="1" t="n">
        <v>44446</v>
      </c>
      <c r="C473" s="1" t="n">
        <v>45837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47240-2021</t>
        </is>
      </c>
      <c r="B474" s="1" t="n">
        <v>44447</v>
      </c>
      <c r="C474" s="1" t="n">
        <v>45837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47495-2021</t>
        </is>
      </c>
      <c r="B475" s="1" t="n">
        <v>44447</v>
      </c>
      <c r="C475" s="1" t="n">
        <v>45837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47494-2021</t>
        </is>
      </c>
      <c r="B476" s="1" t="n">
        <v>44447</v>
      </c>
      <c r="C476" s="1" t="n">
        <v>45837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47971-2021</t>
        </is>
      </c>
      <c r="B477" s="1" t="n">
        <v>44449</v>
      </c>
      <c r="C477" s="1" t="n">
        <v>45837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48786-2021</t>
        </is>
      </c>
      <c r="B478" s="1" t="n">
        <v>44452</v>
      </c>
      <c r="C478" s="1" t="n">
        <v>45837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48782-2021</t>
        </is>
      </c>
      <c r="B479" s="1" t="n">
        <v>44452</v>
      </c>
      <c r="C479" s="1" t="n">
        <v>45837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50260-2021</t>
        </is>
      </c>
      <c r="B480" s="1" t="n">
        <v>44458</v>
      </c>
      <c r="C480" s="1" t="n">
        <v>45837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50974-2021</t>
        </is>
      </c>
      <c r="B481" s="1" t="n">
        <v>44460</v>
      </c>
      <c r="C481" s="1" t="n">
        <v>45837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45837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51477-2021</t>
        </is>
      </c>
      <c r="B483" s="1" t="n">
        <v>44461</v>
      </c>
      <c r="C483" s="1" t="n">
        <v>45837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51528-2021</t>
        </is>
      </c>
      <c r="B484" s="1" t="n">
        <v>44462</v>
      </c>
      <c r="C484" s="1" t="n">
        <v>45837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51862-2021</t>
        </is>
      </c>
      <c r="B485" s="1" t="n">
        <v>44462</v>
      </c>
      <c r="C485" s="1" t="n">
        <v>45837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52695-2021</t>
        </is>
      </c>
      <c r="B486" s="1" t="n">
        <v>44466</v>
      </c>
      <c r="C486" s="1" t="n">
        <v>45837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52697-2021</t>
        </is>
      </c>
      <c r="B487" s="1" t="n">
        <v>44466</v>
      </c>
      <c r="C487" s="1" t="n">
        <v>45837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53046-2021</t>
        </is>
      </c>
      <c r="B488" s="1" t="n">
        <v>44467</v>
      </c>
      <c r="C488" s="1" t="n">
        <v>45837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</v>
      </c>
      <c r="C489" s="1" t="n">
        <v>45837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54016-2021</t>
        </is>
      </c>
      <c r="B490" s="1" t="n">
        <v>44468</v>
      </c>
      <c r="C490" s="1" t="n">
        <v>45837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54942-2021</t>
        </is>
      </c>
      <c r="B491" s="1" t="n">
        <v>44473</v>
      </c>
      <c r="C491" s="1" t="n">
        <v>45837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55147-2021</t>
        </is>
      </c>
      <c r="B492" s="1" t="n">
        <v>44474</v>
      </c>
      <c r="C492" s="1" t="n">
        <v>45837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55190-2021</t>
        </is>
      </c>
      <c r="B493" s="1" t="n">
        <v>44475</v>
      </c>
      <c r="C493" s="1" t="n">
        <v>45837</v>
      </c>
      <c r="D493" t="inlineStr">
        <is>
          <t>BLEKINGE LÄN</t>
        </is>
      </c>
      <c r="E493" t="inlineStr">
        <is>
          <t>KARLSKRONA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55903-2021</t>
        </is>
      </c>
      <c r="B494" s="1" t="n">
        <v>44476</v>
      </c>
      <c r="C494" s="1" t="n">
        <v>45837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56442-2021</t>
        </is>
      </c>
      <c r="B495" s="1" t="n">
        <v>44480</v>
      </c>
      <c r="C495" s="1" t="n">
        <v>45837</v>
      </c>
      <c r="D495" t="inlineStr">
        <is>
          <t>BLEKINGE LÄN</t>
        </is>
      </c>
      <c r="E495" t="inlineStr">
        <is>
          <t>KARLSKRONA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56970-2021</t>
        </is>
      </c>
      <c r="B496" s="1" t="n">
        <v>44481</v>
      </c>
      <c r="C496" s="1" t="n">
        <v>45837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57500-2021</t>
        </is>
      </c>
      <c r="B497" s="1" t="n">
        <v>44483</v>
      </c>
      <c r="C497" s="1" t="n">
        <v>45837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57504-2021</t>
        </is>
      </c>
      <c r="B498" s="1" t="n">
        <v>44483</v>
      </c>
      <c r="C498" s="1" t="n">
        <v>45837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57721-2021</t>
        </is>
      </c>
      <c r="B499" s="1" t="n">
        <v>44484</v>
      </c>
      <c r="C499" s="1" t="n">
        <v>45837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57730-2021</t>
        </is>
      </c>
      <c r="B500" s="1" t="n">
        <v>44484</v>
      </c>
      <c r="C500" s="1" t="n">
        <v>45837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59349-2021</t>
        </is>
      </c>
      <c r="B501" s="1" t="n">
        <v>44491</v>
      </c>
      <c r="C501" s="1" t="n">
        <v>45837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59366-2021</t>
        </is>
      </c>
      <c r="B502" s="1" t="n">
        <v>44491</v>
      </c>
      <c r="C502" s="1" t="n">
        <v>45837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59839-2021</t>
        </is>
      </c>
      <c r="B503" s="1" t="n">
        <v>44494</v>
      </c>
      <c r="C503" s="1" t="n">
        <v>45837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60526-2021</t>
        </is>
      </c>
      <c r="B504" s="1" t="n">
        <v>44496</v>
      </c>
      <c r="C504" s="1" t="n">
        <v>45837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60538-2021</t>
        </is>
      </c>
      <c r="B505" s="1" t="n">
        <v>44496</v>
      </c>
      <c r="C505" s="1" t="n">
        <v>45837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61081-2021</t>
        </is>
      </c>
      <c r="B506" s="1" t="n">
        <v>44497</v>
      </c>
      <c r="C506" s="1" t="n">
        <v>45837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61080-2021</t>
        </is>
      </c>
      <c r="B507" s="1" t="n">
        <v>44498</v>
      </c>
      <c r="C507" s="1" t="n">
        <v>45837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61190-2021</t>
        </is>
      </c>
      <c r="B508" s="1" t="n">
        <v>44498</v>
      </c>
      <c r="C508" s="1" t="n">
        <v>45837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61733-2021</t>
        </is>
      </c>
      <c r="B509" s="1" t="n">
        <v>44501</v>
      </c>
      <c r="C509" s="1" t="n">
        <v>45837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61725-2021</t>
        </is>
      </c>
      <c r="B510" s="1" t="n">
        <v>44501</v>
      </c>
      <c r="C510" s="1" t="n">
        <v>45837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62169-2021</t>
        </is>
      </c>
      <c r="B511" s="1" t="n">
        <v>44502</v>
      </c>
      <c r="C511" s="1" t="n">
        <v>45837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62510-2021</t>
        </is>
      </c>
      <c r="B512" s="1" t="n">
        <v>44503</v>
      </c>
      <c r="C512" s="1" t="n">
        <v>45837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62512-2021</t>
        </is>
      </c>
      <c r="B513" s="1" t="n">
        <v>44503</v>
      </c>
      <c r="C513" s="1" t="n">
        <v>45837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62520-2021</t>
        </is>
      </c>
      <c r="B514" s="1" t="n">
        <v>44503</v>
      </c>
      <c r="C514" s="1" t="n">
        <v>45837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63331-2021</t>
        </is>
      </c>
      <c r="B515" s="1" t="n">
        <v>44508</v>
      </c>
      <c r="C515" s="1" t="n">
        <v>45837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64490-2021</t>
        </is>
      </c>
      <c r="B516" s="1" t="n">
        <v>44511</v>
      </c>
      <c r="C516" s="1" t="n">
        <v>45837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45837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65376-2021</t>
        </is>
      </c>
      <c r="B518" s="1" t="n">
        <v>44515</v>
      </c>
      <c r="C518" s="1" t="n">
        <v>45837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45837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65618-2021</t>
        </is>
      </c>
      <c r="B520" s="1" t="n">
        <v>44516</v>
      </c>
      <c r="C520" s="1" t="n">
        <v>45837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65798-2021</t>
        </is>
      </c>
      <c r="B521" s="1" t="n">
        <v>44517</v>
      </c>
      <c r="C521" s="1" t="n">
        <v>45837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67336-2021</t>
        </is>
      </c>
      <c r="B522" s="1" t="n">
        <v>44523</v>
      </c>
      <c r="C522" s="1" t="n">
        <v>45837</v>
      </c>
      <c r="D522" t="inlineStr">
        <is>
          <t>BLEKINGE LÄN</t>
        </is>
      </c>
      <c r="E522" t="inlineStr">
        <is>
          <t>KARLSKRONA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67540-2021</t>
        </is>
      </c>
      <c r="B523" s="1" t="n">
        <v>44524</v>
      </c>
      <c r="C523" s="1" t="n">
        <v>45837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68264-2021</t>
        </is>
      </c>
      <c r="B524" s="1" t="n">
        <v>44526</v>
      </c>
      <c r="C524" s="1" t="n">
        <v>45837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68736-2021</t>
        </is>
      </c>
      <c r="B525" s="1" t="n">
        <v>44529</v>
      </c>
      <c r="C525" s="1" t="n">
        <v>45837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68734-2021</t>
        </is>
      </c>
      <c r="B526" s="1" t="n">
        <v>44529</v>
      </c>
      <c r="C526" s="1" t="n">
        <v>45837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68661-2021</t>
        </is>
      </c>
      <c r="B527" s="1" t="n">
        <v>44529</v>
      </c>
      <c r="C527" s="1" t="n">
        <v>45837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</v>
      </c>
      <c r="C528" s="1" t="n">
        <v>45837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69251-2021</t>
        </is>
      </c>
      <c r="B529" s="1" t="n">
        <v>44530</v>
      </c>
      <c r="C529" s="1" t="n">
        <v>45837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71734-2021</t>
        </is>
      </c>
      <c r="B530" s="1" t="n">
        <v>44539</v>
      </c>
      <c r="C530" s="1" t="n">
        <v>45837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71518-2021</t>
        </is>
      </c>
      <c r="B531" s="1" t="n">
        <v>44540</v>
      </c>
      <c r="C531" s="1" t="n">
        <v>45837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71792-2021</t>
        </is>
      </c>
      <c r="B532" s="1" t="n">
        <v>44543</v>
      </c>
      <c r="C532" s="1" t="n">
        <v>45837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71708-2021</t>
        </is>
      </c>
      <c r="B533" s="1" t="n">
        <v>44543</v>
      </c>
      <c r="C533" s="1" t="n">
        <v>45837</v>
      </c>
      <c r="D533" t="inlineStr">
        <is>
          <t>BLEKINGE LÄN</t>
        </is>
      </c>
      <c r="E533" t="inlineStr">
        <is>
          <t>KARLSKRONA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72273-2021</t>
        </is>
      </c>
      <c r="B534" s="1" t="n">
        <v>44545</v>
      </c>
      <c r="C534" s="1" t="n">
        <v>45837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</v>
      </c>
      <c r="C535" s="1" t="n">
        <v>45837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72534-2021</t>
        </is>
      </c>
      <c r="B536" s="1" t="n">
        <v>44546</v>
      </c>
      <c r="C536" s="1" t="n">
        <v>45837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73369-2021</t>
        </is>
      </c>
      <c r="B537" s="1" t="n">
        <v>44551</v>
      </c>
      <c r="C537" s="1" t="n">
        <v>45837</v>
      </c>
      <c r="D537" t="inlineStr">
        <is>
          <t>BLEKINGE LÄN</t>
        </is>
      </c>
      <c r="E537" t="inlineStr">
        <is>
          <t>KARLSKRONA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</v>
      </c>
      <c r="C538" s="1" t="n">
        <v>45837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74237-2021</t>
        </is>
      </c>
      <c r="B539" s="1" t="n">
        <v>44553</v>
      </c>
      <c r="C539" s="1" t="n">
        <v>45837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74345-2021</t>
        </is>
      </c>
      <c r="B540" s="1" t="n">
        <v>44559</v>
      </c>
      <c r="C540" s="1" t="n">
        <v>45837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45837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861-2022</t>
        </is>
      </c>
      <c r="B542" s="1" t="n">
        <v>44571</v>
      </c>
      <c r="C542" s="1" t="n">
        <v>45837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1136-2022</t>
        </is>
      </c>
      <c r="B543" s="1" t="n">
        <v>44572</v>
      </c>
      <c r="C543" s="1" t="n">
        <v>45837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1139-2022</t>
        </is>
      </c>
      <c r="B544" s="1" t="n">
        <v>44572</v>
      </c>
      <c r="C544" s="1" t="n">
        <v>45837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1754-2022</t>
        </is>
      </c>
      <c r="B545" s="1" t="n">
        <v>44574</v>
      </c>
      <c r="C545" s="1" t="n">
        <v>45837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2140-2022</t>
        </is>
      </c>
      <c r="B546" s="1" t="n">
        <v>44578</v>
      </c>
      <c r="C546" s="1" t="n">
        <v>45837</v>
      </c>
      <c r="D546" t="inlineStr">
        <is>
          <t>BLEKINGE LÄN</t>
        </is>
      </c>
      <c r="E546" t="inlineStr">
        <is>
          <t>KARLSKRONA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2391-2022</t>
        </is>
      </c>
      <c r="B547" s="1" t="n">
        <v>44579</v>
      </c>
      <c r="C547" s="1" t="n">
        <v>45837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3024-2022</t>
        </is>
      </c>
      <c r="B548" s="1" t="n">
        <v>44582</v>
      </c>
      <c r="C548" s="1" t="n">
        <v>45837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3295-2022</t>
        </is>
      </c>
      <c r="B549" s="1" t="n">
        <v>44584</v>
      </c>
      <c r="C549" s="1" t="n">
        <v>45837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3391-2022</t>
        </is>
      </c>
      <c r="B550" s="1" t="n">
        <v>44585</v>
      </c>
      <c r="C550" s="1" t="n">
        <v>45837</v>
      </c>
      <c r="D550" t="inlineStr">
        <is>
          <t>BLEKINGE LÄN</t>
        </is>
      </c>
      <c r="E550" t="inlineStr">
        <is>
          <t>KARLSKRONA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3328-2022</t>
        </is>
      </c>
      <c r="B551" s="1" t="n">
        <v>44585</v>
      </c>
      <c r="C551" s="1" t="n">
        <v>45837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3333-2022</t>
        </is>
      </c>
      <c r="B552" s="1" t="n">
        <v>44585</v>
      </c>
      <c r="C552" s="1" t="n">
        <v>45837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3571-2022</t>
        </is>
      </c>
      <c r="B553" s="1" t="n">
        <v>44586</v>
      </c>
      <c r="C553" s="1" t="n">
        <v>45837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3618-2022</t>
        </is>
      </c>
      <c r="B554" s="1" t="n">
        <v>44586</v>
      </c>
      <c r="C554" s="1" t="n">
        <v>45837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3928-2022</t>
        </is>
      </c>
      <c r="B555" s="1" t="n">
        <v>44587</v>
      </c>
      <c r="C555" s="1" t="n">
        <v>45837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4064-2022</t>
        </is>
      </c>
      <c r="B556" s="1" t="n">
        <v>44588</v>
      </c>
      <c r="C556" s="1" t="n">
        <v>45837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4092-2022</t>
        </is>
      </c>
      <c r="B557" s="1" t="n">
        <v>44588</v>
      </c>
      <c r="C557" s="1" t="n">
        <v>45837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45837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4795-2022</t>
        </is>
      </c>
      <c r="B559" s="1" t="n">
        <v>44592</v>
      </c>
      <c r="C559" s="1" t="n">
        <v>45837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4793-2022</t>
        </is>
      </c>
      <c r="B560" s="1" t="n">
        <v>44592</v>
      </c>
      <c r="C560" s="1" t="n">
        <v>45837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</v>
      </c>
      <c r="C561" s="1" t="n">
        <v>45837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4919-2022</t>
        </is>
      </c>
      <c r="B562" s="1" t="n">
        <v>44593</v>
      </c>
      <c r="C562" s="1" t="n">
        <v>45837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5560-2022</t>
        </is>
      </c>
      <c r="B563" s="1" t="n">
        <v>44595</v>
      </c>
      <c r="C563" s="1" t="n">
        <v>45837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5714-2022</t>
        </is>
      </c>
      <c r="B564" s="1" t="n">
        <v>44596</v>
      </c>
      <c r="C564" s="1" t="n">
        <v>45837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5880-2022</t>
        </is>
      </c>
      <c r="B565" s="1" t="n">
        <v>44596</v>
      </c>
      <c r="C565" s="1" t="n">
        <v>45837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6037-2022</t>
        </is>
      </c>
      <c r="B566" s="1" t="n">
        <v>44599</v>
      </c>
      <c r="C566" s="1" t="n">
        <v>45837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6359-2022</t>
        </is>
      </c>
      <c r="B567" s="1" t="n">
        <v>44600</v>
      </c>
      <c r="C567" s="1" t="n">
        <v>45837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7066-2022</t>
        </is>
      </c>
      <c r="B568" s="1" t="n">
        <v>44603</v>
      </c>
      <c r="C568" s="1" t="n">
        <v>45837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7648-2022</t>
        </is>
      </c>
      <c r="B569" s="1" t="n">
        <v>44607</v>
      </c>
      <c r="C569" s="1" t="n">
        <v>45837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7750-2022</t>
        </is>
      </c>
      <c r="B570" s="1" t="n">
        <v>44608</v>
      </c>
      <c r="C570" s="1" t="n">
        <v>45837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7874-2022</t>
        </is>
      </c>
      <c r="B571" s="1" t="n">
        <v>44608</v>
      </c>
      <c r="C571" s="1" t="n">
        <v>45837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7875-2022</t>
        </is>
      </c>
      <c r="B572" s="1" t="n">
        <v>44608</v>
      </c>
      <c r="C572" s="1" t="n">
        <v>45837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8011-2022</t>
        </is>
      </c>
      <c r="B573" s="1" t="n">
        <v>44609</v>
      </c>
      <c r="C573" s="1" t="n">
        <v>45837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8094-2022</t>
        </is>
      </c>
      <c r="B574" s="1" t="n">
        <v>44609</v>
      </c>
      <c r="C574" s="1" t="n">
        <v>45837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8104-2022</t>
        </is>
      </c>
      <c r="B575" s="1" t="n">
        <v>44609</v>
      </c>
      <c r="C575" s="1" t="n">
        <v>45837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</v>
      </c>
      <c r="C576" s="1" t="n">
        <v>45837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45837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9306-2022</t>
        </is>
      </c>
      <c r="B578" s="1" t="n">
        <v>44616</v>
      </c>
      <c r="C578" s="1" t="n">
        <v>45837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9620-2022</t>
        </is>
      </c>
      <c r="B579" s="1" t="n">
        <v>44617</v>
      </c>
      <c r="C579" s="1" t="n">
        <v>45837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9762-2022</t>
        </is>
      </c>
      <c r="B580" s="1" t="n">
        <v>44619</v>
      </c>
      <c r="C580" s="1" t="n">
        <v>45837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9763-2022</t>
        </is>
      </c>
      <c r="B581" s="1" t="n">
        <v>44619</v>
      </c>
      <c r="C581" s="1" t="n">
        <v>45837</v>
      </c>
      <c r="D581" t="inlineStr">
        <is>
          <t>BLEKINGE LÄN</t>
        </is>
      </c>
      <c r="E581" t="inlineStr">
        <is>
          <t>KARLSKRONA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9844-2022</t>
        </is>
      </c>
      <c r="B582" s="1" t="n">
        <v>44620</v>
      </c>
      <c r="C582" s="1" t="n">
        <v>45837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9880-2022</t>
        </is>
      </c>
      <c r="B583" s="1" t="n">
        <v>44620</v>
      </c>
      <c r="C583" s="1" t="n">
        <v>45837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9966-2022</t>
        </is>
      </c>
      <c r="B584" s="1" t="n">
        <v>44621</v>
      </c>
      <c r="C584" s="1" t="n">
        <v>45837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10338-2022</t>
        </is>
      </c>
      <c r="B585" s="1" t="n">
        <v>44623</v>
      </c>
      <c r="C585" s="1" t="n">
        <v>45837</v>
      </c>
      <c r="D585" t="inlineStr">
        <is>
          <t>BLEKINGE LÄN</t>
        </is>
      </c>
      <c r="E585" t="inlineStr">
        <is>
          <t>KARLSKRONA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10629-2022</t>
        </is>
      </c>
      <c r="B586" s="1" t="n">
        <v>44624</v>
      </c>
      <c r="C586" s="1" t="n">
        <v>45837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10628-2022</t>
        </is>
      </c>
      <c r="B587" s="1" t="n">
        <v>44624</v>
      </c>
      <c r="C587" s="1" t="n">
        <v>45837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10775-2022</t>
        </is>
      </c>
      <c r="B588" s="1" t="n">
        <v>44627</v>
      </c>
      <c r="C588" s="1" t="n">
        <v>45837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10921-2022</t>
        </is>
      </c>
      <c r="B589" s="1" t="n">
        <v>44627</v>
      </c>
      <c r="C589" s="1" t="n">
        <v>45837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10922-2022</t>
        </is>
      </c>
      <c r="B590" s="1" t="n">
        <v>44627</v>
      </c>
      <c r="C590" s="1" t="n">
        <v>45837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45837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11173-2022</t>
        </is>
      </c>
      <c r="B592" s="1" t="n">
        <v>44629</v>
      </c>
      <c r="C592" s="1" t="n">
        <v>45837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11320-2022</t>
        </is>
      </c>
      <c r="B593" s="1" t="n">
        <v>44629</v>
      </c>
      <c r="C593" s="1" t="n">
        <v>45837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11303-2022</t>
        </is>
      </c>
      <c r="B594" s="1" t="n">
        <v>44629</v>
      </c>
      <c r="C594" s="1" t="n">
        <v>45837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11630-2022</t>
        </is>
      </c>
      <c r="B595" s="1" t="n">
        <v>44631</v>
      </c>
      <c r="C595" s="1" t="n">
        <v>45837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11761-2022</t>
        </is>
      </c>
      <c r="B596" s="1" t="n">
        <v>44634</v>
      </c>
      <c r="C596" s="1" t="n">
        <v>45837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</v>
      </c>
      <c r="C597" s="1" t="n">
        <v>45837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45837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12180-2022</t>
        </is>
      </c>
      <c r="B599" s="1" t="n">
        <v>44636</v>
      </c>
      <c r="C599" s="1" t="n">
        <v>45837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12265-2022</t>
        </is>
      </c>
      <c r="B600" s="1" t="n">
        <v>44637</v>
      </c>
      <c r="C600" s="1" t="n">
        <v>45837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12517-2022</t>
        </is>
      </c>
      <c r="B601" s="1" t="n">
        <v>44638</v>
      </c>
      <c r="C601" s="1" t="n">
        <v>45837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12698-2022</t>
        </is>
      </c>
      <c r="B602" s="1" t="n">
        <v>44641</v>
      </c>
      <c r="C602" s="1" t="n">
        <v>45837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13179-2022</t>
        </is>
      </c>
      <c r="B603" s="1" t="n">
        <v>44644</v>
      </c>
      <c r="C603" s="1" t="n">
        <v>45837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14127-2022</t>
        </is>
      </c>
      <c r="B604" s="1" t="n">
        <v>44651</v>
      </c>
      <c r="C604" s="1" t="n">
        <v>45837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14681-2022</t>
        </is>
      </c>
      <c r="B605" s="1" t="n">
        <v>44656</v>
      </c>
      <c r="C605" s="1" t="n">
        <v>45837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45837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15319-2022</t>
        </is>
      </c>
      <c r="B607" s="1" t="n">
        <v>44659</v>
      </c>
      <c r="C607" s="1" t="n">
        <v>45837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15782-2022</t>
        </is>
      </c>
      <c r="B608" s="1" t="n">
        <v>44663</v>
      </c>
      <c r="C608" s="1" t="n">
        <v>45837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16360-2022</t>
        </is>
      </c>
      <c r="B609" s="1" t="n">
        <v>44670</v>
      </c>
      <c r="C609" s="1" t="n">
        <v>45837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16542-2022</t>
        </is>
      </c>
      <c r="B610" s="1" t="n">
        <v>44672</v>
      </c>
      <c r="C610" s="1" t="n">
        <v>45837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16639-2022</t>
        </is>
      </c>
      <c r="B611" s="1" t="n">
        <v>44672</v>
      </c>
      <c r="C611" s="1" t="n">
        <v>45837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16546-2022</t>
        </is>
      </c>
      <c r="B612" s="1" t="n">
        <v>44672</v>
      </c>
      <c r="C612" s="1" t="n">
        <v>45837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16926-2022</t>
        </is>
      </c>
      <c r="B613" s="1" t="n">
        <v>44676</v>
      </c>
      <c r="C613" s="1" t="n">
        <v>45837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16932-2022</t>
        </is>
      </c>
      <c r="B614" s="1" t="n">
        <v>44676</v>
      </c>
      <c r="C614" s="1" t="n">
        <v>45837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16924-2022</t>
        </is>
      </c>
      <c r="B615" s="1" t="n">
        <v>44676</v>
      </c>
      <c r="C615" s="1" t="n">
        <v>45837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18522-2022</t>
        </is>
      </c>
      <c r="B616" s="1" t="n">
        <v>44686</v>
      </c>
      <c r="C616" s="1" t="n">
        <v>45837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45837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18687-2022</t>
        </is>
      </c>
      <c r="B618" s="1" t="n">
        <v>44687</v>
      </c>
      <c r="C618" s="1" t="n">
        <v>45837</v>
      </c>
      <c r="D618" t="inlineStr">
        <is>
          <t>BLEKINGE LÄN</t>
        </is>
      </c>
      <c r="E618" t="inlineStr">
        <is>
          <t>KARLSKRONA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19146-2022</t>
        </is>
      </c>
      <c r="B619" s="1" t="n">
        <v>44691</v>
      </c>
      <c r="C619" s="1" t="n">
        <v>45837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19142-2022</t>
        </is>
      </c>
      <c r="B620" s="1" t="n">
        <v>44691</v>
      </c>
      <c r="C620" s="1" t="n">
        <v>45837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</v>
      </c>
      <c r="C621" s="1" t="n">
        <v>45837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</v>
      </c>
      <c r="C622" s="1" t="n">
        <v>45837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19515-2022</t>
        </is>
      </c>
      <c r="B623" s="1" t="n">
        <v>44693</v>
      </c>
      <c r="C623" s="1" t="n">
        <v>45837</v>
      </c>
      <c r="D623" t="inlineStr">
        <is>
          <t>BLEKINGE LÄN</t>
        </is>
      </c>
      <c r="E623" t="inlineStr">
        <is>
          <t>KARLSKRONA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19847-2022</t>
        </is>
      </c>
      <c r="B624" s="1" t="n">
        <v>44696</v>
      </c>
      <c r="C624" s="1" t="n">
        <v>45837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20152-2022</t>
        </is>
      </c>
      <c r="B625" s="1" t="n">
        <v>44698</v>
      </c>
      <c r="C625" s="1" t="n">
        <v>45837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20606-2022</t>
        </is>
      </c>
      <c r="B626" s="1" t="n">
        <v>44700</v>
      </c>
      <c r="C626" s="1" t="n">
        <v>45837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21265-2022</t>
        </is>
      </c>
      <c r="B627" s="1" t="n">
        <v>44705</v>
      </c>
      <c r="C627" s="1" t="n">
        <v>45837</v>
      </c>
      <c r="D627" t="inlineStr">
        <is>
          <t>BLEKINGE LÄN</t>
        </is>
      </c>
      <c r="E627" t="inlineStr">
        <is>
          <t>KARLSKRONA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21484-2022</t>
        </is>
      </c>
      <c r="B628" s="1" t="n">
        <v>44706</v>
      </c>
      <c r="C628" s="1" t="n">
        <v>45837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21486-2022</t>
        </is>
      </c>
      <c r="B629" s="1" t="n">
        <v>44706</v>
      </c>
      <c r="C629" s="1" t="n">
        <v>45837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21893-2022</t>
        </is>
      </c>
      <c r="B630" s="1" t="n">
        <v>44710</v>
      </c>
      <c r="C630" s="1" t="n">
        <v>45837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21997-2022</t>
        </is>
      </c>
      <c r="B631" s="1" t="n">
        <v>44711</v>
      </c>
      <c r="C631" s="1" t="n">
        <v>45837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22003-2022</t>
        </is>
      </c>
      <c r="B632" s="1" t="n">
        <v>44711</v>
      </c>
      <c r="C632" s="1" t="n">
        <v>45837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22012-2022</t>
        </is>
      </c>
      <c r="B633" s="1" t="n">
        <v>44711</v>
      </c>
      <c r="C633" s="1" t="n">
        <v>45837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23148-2022</t>
        </is>
      </c>
      <c r="B634" s="1" t="n">
        <v>44719</v>
      </c>
      <c r="C634" s="1" t="n">
        <v>45837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23142-2022</t>
        </is>
      </c>
      <c r="B635" s="1" t="n">
        <v>44719</v>
      </c>
      <c r="C635" s="1" t="n">
        <v>45837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23154-2022</t>
        </is>
      </c>
      <c r="B636" s="1" t="n">
        <v>44719</v>
      </c>
      <c r="C636" s="1" t="n">
        <v>45837</v>
      </c>
      <c r="D636" t="inlineStr">
        <is>
          <t>BLEKINGE LÄN</t>
        </is>
      </c>
      <c r="E636" t="inlineStr">
        <is>
          <t>KARLSKRONA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23256-2022</t>
        </is>
      </c>
      <c r="B637" s="1" t="n">
        <v>44720</v>
      </c>
      <c r="C637" s="1" t="n">
        <v>45837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</v>
      </c>
      <c r="C638" s="1" t="n">
        <v>45837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23914-2022</t>
        </is>
      </c>
      <c r="B639" s="1" t="n">
        <v>44722</v>
      </c>
      <c r="C639" s="1" t="n">
        <v>45837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24179-2022</t>
        </is>
      </c>
      <c r="B640" s="1" t="n">
        <v>44725</v>
      </c>
      <c r="C640" s="1" t="n">
        <v>45837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</v>
      </c>
      <c r="C641" s="1" t="n">
        <v>45837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25438-2022</t>
        </is>
      </c>
      <c r="B642" s="1" t="n">
        <v>44732</v>
      </c>
      <c r="C642" s="1" t="n">
        <v>45837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27352-2022</t>
        </is>
      </c>
      <c r="B643" s="1" t="n">
        <v>44742</v>
      </c>
      <c r="C643" s="1" t="n">
        <v>45837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27474-2022</t>
        </is>
      </c>
      <c r="B644" s="1" t="n">
        <v>44742</v>
      </c>
      <c r="C644" s="1" t="n">
        <v>45837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27481-2022</t>
        </is>
      </c>
      <c r="B645" s="1" t="n">
        <v>44742</v>
      </c>
      <c r="C645" s="1" t="n">
        <v>45837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27489-2022</t>
        </is>
      </c>
      <c r="B646" s="1" t="n">
        <v>44742</v>
      </c>
      <c r="C646" s="1" t="n">
        <v>45837</v>
      </c>
      <c r="D646" t="inlineStr">
        <is>
          <t>BLEKINGE LÄN</t>
        </is>
      </c>
      <c r="E646" t="inlineStr">
        <is>
          <t>KARLSKRONA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27842-2022</t>
        </is>
      </c>
      <c r="B647" s="1" t="n">
        <v>44743</v>
      </c>
      <c r="C647" s="1" t="n">
        <v>45837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27767-2022</t>
        </is>
      </c>
      <c r="B648" s="1" t="n">
        <v>44743</v>
      </c>
      <c r="C648" s="1" t="n">
        <v>45837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45837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28458-2022</t>
        </is>
      </c>
      <c r="B650" s="1" t="n">
        <v>44747</v>
      </c>
      <c r="C650" s="1" t="n">
        <v>45837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28615-2022</t>
        </is>
      </c>
      <c r="B651" s="1" t="n">
        <v>44748</v>
      </c>
      <c r="C651" s="1" t="n">
        <v>45837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45837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29582-2022</t>
        </is>
      </c>
      <c r="B653" s="1" t="n">
        <v>44754</v>
      </c>
      <c r="C653" s="1" t="n">
        <v>45837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45837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29718-2022</t>
        </is>
      </c>
      <c r="B655" s="1" t="n">
        <v>44755</v>
      </c>
      <c r="C655" s="1" t="n">
        <v>45837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29914-2022</t>
        </is>
      </c>
      <c r="B656" s="1" t="n">
        <v>44756</v>
      </c>
      <c r="C656" s="1" t="n">
        <v>45837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45837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45837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30848-2022</t>
        </is>
      </c>
      <c r="B659" s="1" t="n">
        <v>44767</v>
      </c>
      <c r="C659" s="1" t="n">
        <v>45837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32599-2022</t>
        </is>
      </c>
      <c r="B660" s="1" t="n">
        <v>44783</v>
      </c>
      <c r="C660" s="1" t="n">
        <v>45837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45837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36015-2022</t>
        </is>
      </c>
      <c r="B662" s="1" t="n">
        <v>44802</v>
      </c>
      <c r="C662" s="1" t="n">
        <v>45837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</v>
      </c>
      <c r="C663" s="1" t="n">
        <v>45837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37206-2022</t>
        </is>
      </c>
      <c r="B664" s="1" t="n">
        <v>44806</v>
      </c>
      <c r="C664" s="1" t="n">
        <v>45837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</v>
      </c>
      <c r="C665" s="1" t="n">
        <v>45837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37505-2022</t>
        </is>
      </c>
      <c r="B666" s="1" t="n">
        <v>44809</v>
      </c>
      <c r="C666" s="1" t="n">
        <v>45837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38351-2022</t>
        </is>
      </c>
      <c r="B667" s="1" t="n">
        <v>44812</v>
      </c>
      <c r="C667" s="1" t="n">
        <v>45837</v>
      </c>
      <c r="D667" t="inlineStr">
        <is>
          <t>BLEKINGE LÄN</t>
        </is>
      </c>
      <c r="E667" t="inlineStr">
        <is>
          <t>KARLSKRONA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39984-2022</t>
        </is>
      </c>
      <c r="B668" s="1" t="n">
        <v>44820</v>
      </c>
      <c r="C668" s="1" t="n">
        <v>45837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40074-2022</t>
        </is>
      </c>
      <c r="B669" s="1" t="n">
        <v>44820</v>
      </c>
      <c r="C669" s="1" t="n">
        <v>45837</v>
      </c>
      <c r="D669" t="inlineStr">
        <is>
          <t>BLEKINGE LÄN</t>
        </is>
      </c>
      <c r="E669" t="inlineStr">
        <is>
          <t>KARLSKRONA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40383-2022</t>
        </is>
      </c>
      <c r="B670" s="1" t="n">
        <v>44823</v>
      </c>
      <c r="C670" s="1" t="n">
        <v>45837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41200-2022</t>
        </is>
      </c>
      <c r="B671" s="1" t="n">
        <v>44826</v>
      </c>
      <c r="C671" s="1" t="n">
        <v>45837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41204-2022</t>
        </is>
      </c>
      <c r="B672" s="1" t="n">
        <v>44825</v>
      </c>
      <c r="C672" s="1" t="n">
        <v>45837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41201-2022</t>
        </is>
      </c>
      <c r="B673" s="1" t="n">
        <v>44826</v>
      </c>
      <c r="C673" s="1" t="n">
        <v>45837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41449-2022</t>
        </is>
      </c>
      <c r="B674" s="1" t="n">
        <v>44826</v>
      </c>
      <c r="C674" s="1" t="n">
        <v>45837</v>
      </c>
      <c r="D674" t="inlineStr">
        <is>
          <t>BLEKINGE LÄN</t>
        </is>
      </c>
      <c r="E674" t="inlineStr">
        <is>
          <t>KARLSKRONA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42011-2022</t>
        </is>
      </c>
      <c r="B675" s="1" t="n">
        <v>44830</v>
      </c>
      <c r="C675" s="1" t="n">
        <v>45837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42702-2022</t>
        </is>
      </c>
      <c r="B676" s="1" t="n">
        <v>44832</v>
      </c>
      <c r="C676" s="1" t="n">
        <v>45837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42822-2022</t>
        </is>
      </c>
      <c r="B677" s="1" t="n">
        <v>44832</v>
      </c>
      <c r="C677" s="1" t="n">
        <v>45837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43570-2022</t>
        </is>
      </c>
      <c r="B678" s="1" t="n">
        <v>44837</v>
      </c>
      <c r="C678" s="1" t="n">
        <v>45837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43606-2022</t>
        </is>
      </c>
      <c r="B679" s="1" t="n">
        <v>44837</v>
      </c>
      <c r="C679" s="1" t="n">
        <v>45837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</v>
      </c>
      <c r="C680" s="1" t="n">
        <v>45837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45262-2022</t>
        </is>
      </c>
      <c r="B681" s="1" t="n">
        <v>44844</v>
      </c>
      <c r="C681" s="1" t="n">
        <v>45837</v>
      </c>
      <c r="D681" t="inlineStr">
        <is>
          <t>BLEKINGE LÄN</t>
        </is>
      </c>
      <c r="E681" t="inlineStr">
        <is>
          <t>KARLSKRONA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46209-2022</t>
        </is>
      </c>
      <c r="B682" s="1" t="n">
        <v>44845</v>
      </c>
      <c r="C682" s="1" t="n">
        <v>45837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</v>
      </c>
      <c r="C683" s="1" t="n">
        <v>45837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46435-2022</t>
        </is>
      </c>
      <c r="B684" s="1" t="n">
        <v>44847</v>
      </c>
      <c r="C684" s="1" t="n">
        <v>45837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45837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46772-2022</t>
        </is>
      </c>
      <c r="B686" s="1" t="n">
        <v>44847</v>
      </c>
      <c r="C686" s="1" t="n">
        <v>45837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</v>
      </c>
      <c r="C687" s="1" t="n">
        <v>45837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49068-2022</t>
        </is>
      </c>
      <c r="B688" s="1" t="n">
        <v>44856</v>
      </c>
      <c r="C688" s="1" t="n">
        <v>45837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48249-2022</t>
        </is>
      </c>
      <c r="B689" s="1" t="n">
        <v>44858</v>
      </c>
      <c r="C689" s="1" t="n">
        <v>45837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48455-2022</t>
        </is>
      </c>
      <c r="B690" s="1" t="n">
        <v>44858</v>
      </c>
      <c r="C690" s="1" t="n">
        <v>45837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49388-2022</t>
        </is>
      </c>
      <c r="B691" s="1" t="n">
        <v>44858</v>
      </c>
      <c r="C691" s="1" t="n">
        <v>45837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48703-2022</t>
        </is>
      </c>
      <c r="B692" s="1" t="n">
        <v>44859</v>
      </c>
      <c r="C692" s="1" t="n">
        <v>45837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48999-2022</t>
        </is>
      </c>
      <c r="B693" s="1" t="n">
        <v>44860</v>
      </c>
      <c r="C693" s="1" t="n">
        <v>45837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48995-2022</t>
        </is>
      </c>
      <c r="B694" s="1" t="n">
        <v>44860</v>
      </c>
      <c r="C694" s="1" t="n">
        <v>45837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49034-2022</t>
        </is>
      </c>
      <c r="B695" s="1" t="n">
        <v>44860</v>
      </c>
      <c r="C695" s="1" t="n">
        <v>45837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49693-2022</t>
        </is>
      </c>
      <c r="B696" s="1" t="n">
        <v>44862</v>
      </c>
      <c r="C696" s="1" t="n">
        <v>45837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50094-2022</t>
        </is>
      </c>
      <c r="B697" s="1" t="n">
        <v>44865</v>
      </c>
      <c r="C697" s="1" t="n">
        <v>45837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50132-2022</t>
        </is>
      </c>
      <c r="B698" s="1" t="n">
        <v>44865</v>
      </c>
      <c r="C698" s="1" t="n">
        <v>45837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50612-2022</t>
        </is>
      </c>
      <c r="B699" s="1" t="n">
        <v>44866</v>
      </c>
      <c r="C699" s="1" t="n">
        <v>45837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50614-2022</t>
        </is>
      </c>
      <c r="B700" s="1" t="n">
        <v>44866</v>
      </c>
      <c r="C700" s="1" t="n">
        <v>45837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51636-2022</t>
        </is>
      </c>
      <c r="B701" s="1" t="n">
        <v>44867</v>
      </c>
      <c r="C701" s="1" t="n">
        <v>45837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51351-2022</t>
        </is>
      </c>
      <c r="B702" s="1" t="n">
        <v>44869</v>
      </c>
      <c r="C702" s="1" t="n">
        <v>45837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53161-2022</t>
        </is>
      </c>
      <c r="B703" s="1" t="n">
        <v>44874</v>
      </c>
      <c r="C703" s="1" t="n">
        <v>45837</v>
      </c>
      <c r="D703" t="inlineStr">
        <is>
          <t>BLEKINGE LÄN</t>
        </is>
      </c>
      <c r="E703" t="inlineStr">
        <is>
          <t>KARLSKRONA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53560-2022</t>
        </is>
      </c>
      <c r="B704" s="1" t="n">
        <v>44874</v>
      </c>
      <c r="C704" s="1" t="n">
        <v>45837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53552-2022</t>
        </is>
      </c>
      <c r="B705" s="1" t="n">
        <v>44874</v>
      </c>
      <c r="C705" s="1" t="n">
        <v>45837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52825-2022</t>
        </is>
      </c>
      <c r="B706" s="1" t="n">
        <v>44875</v>
      </c>
      <c r="C706" s="1" t="n">
        <v>45837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52814-2022</t>
        </is>
      </c>
      <c r="B707" s="1" t="n">
        <v>44875</v>
      </c>
      <c r="C707" s="1" t="n">
        <v>45837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</v>
      </c>
      <c r="C708" s="1" t="n">
        <v>45837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45837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52853-2022</t>
        </is>
      </c>
      <c r="B710" s="1" t="n">
        <v>44875</v>
      </c>
      <c r="C710" s="1" t="n">
        <v>45837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</v>
      </c>
      <c r="C711" s="1" t="n">
        <v>45837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53326-2022</t>
        </is>
      </c>
      <c r="B712" s="1" t="n">
        <v>44879</v>
      </c>
      <c r="C712" s="1" t="n">
        <v>45837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45837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54800-2022</t>
        </is>
      </c>
      <c r="B714" s="1" t="n">
        <v>44883</v>
      </c>
      <c r="C714" s="1" t="n">
        <v>45837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55057-2022</t>
        </is>
      </c>
      <c r="B715" s="1" t="n">
        <v>44886</v>
      </c>
      <c r="C715" s="1" t="n">
        <v>45837</v>
      </c>
      <c r="D715" t="inlineStr">
        <is>
          <t>BLEKINGE LÄN</t>
        </is>
      </c>
      <c r="E715" t="inlineStr">
        <is>
          <t>KARLSKRONA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56201-2022</t>
        </is>
      </c>
      <c r="B716" s="1" t="n">
        <v>44890</v>
      </c>
      <c r="C716" s="1" t="n">
        <v>45837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56365-2022</t>
        </is>
      </c>
      <c r="B717" s="1" t="n">
        <v>44890</v>
      </c>
      <c r="C717" s="1" t="n">
        <v>45837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56543-2022</t>
        </is>
      </c>
      <c r="B718" s="1" t="n">
        <v>44893</v>
      </c>
      <c r="C718" s="1" t="n">
        <v>45837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56539-2022</t>
        </is>
      </c>
      <c r="B719" s="1" t="n">
        <v>44893</v>
      </c>
      <c r="C719" s="1" t="n">
        <v>45837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58040-2022</t>
        </is>
      </c>
      <c r="B720" s="1" t="n">
        <v>44893</v>
      </c>
      <c r="C720" s="1" t="n">
        <v>45837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58059-2022</t>
        </is>
      </c>
      <c r="B721" s="1" t="n">
        <v>44900</v>
      </c>
      <c r="C721" s="1" t="n">
        <v>45837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</v>
      </c>
      <c r="C722" s="1" t="n">
        <v>45837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60299-2022</t>
        </is>
      </c>
      <c r="B723" s="1" t="n">
        <v>44903</v>
      </c>
      <c r="C723" s="1" t="n">
        <v>45837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45837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60649-2022</t>
        </is>
      </c>
      <c r="B725" s="1" t="n">
        <v>44911</v>
      </c>
      <c r="C725" s="1" t="n">
        <v>45837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61749-2022</t>
        </is>
      </c>
      <c r="B726" s="1" t="n">
        <v>44911</v>
      </c>
      <c r="C726" s="1" t="n">
        <v>45837</v>
      </c>
      <c r="D726" t="inlineStr">
        <is>
          <t>BLEKINGE LÄN</t>
        </is>
      </c>
      <c r="E726" t="inlineStr">
        <is>
          <t>KARLSKRONA</t>
        </is>
      </c>
      <c r="G726" t="n">
        <v>14.2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</v>
      </c>
      <c r="C727" s="1" t="n">
        <v>45837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60904-2022</t>
        </is>
      </c>
      <c r="B728" s="1" t="n">
        <v>44914</v>
      </c>
      <c r="C728" s="1" t="n">
        <v>45837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61532-2022</t>
        </is>
      </c>
      <c r="B729" s="1" t="n">
        <v>44916</v>
      </c>
      <c r="C729" s="1" t="n">
        <v>45837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45837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32-2023</t>
        </is>
      </c>
      <c r="B731" s="1" t="n">
        <v>44928</v>
      </c>
      <c r="C731" s="1" t="n">
        <v>45837</v>
      </c>
      <c r="D731" t="inlineStr">
        <is>
          <t>BLEKINGE LÄN</t>
        </is>
      </c>
      <c r="E731" t="inlineStr">
        <is>
          <t>KARLSKRONA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339-2023</t>
        </is>
      </c>
      <c r="B732" s="1" t="n">
        <v>44929</v>
      </c>
      <c r="C732" s="1" t="n">
        <v>45837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691-2023</t>
        </is>
      </c>
      <c r="B733" s="1" t="n">
        <v>44930</v>
      </c>
      <c r="C733" s="1" t="n">
        <v>45837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45837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688-2023</t>
        </is>
      </c>
      <c r="B735" s="1" t="n">
        <v>44930</v>
      </c>
      <c r="C735" s="1" t="n">
        <v>45837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698-2023</t>
        </is>
      </c>
      <c r="B736" s="1" t="n">
        <v>44930</v>
      </c>
      <c r="C736" s="1" t="n">
        <v>45837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690-2023</t>
        </is>
      </c>
      <c r="B737" s="1" t="n">
        <v>44930</v>
      </c>
      <c r="C737" s="1" t="n">
        <v>45837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1243-2023</t>
        </is>
      </c>
      <c r="B738" s="1" t="n">
        <v>44936</v>
      </c>
      <c r="C738" s="1" t="n">
        <v>45837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1601-2023</t>
        </is>
      </c>
      <c r="B739" s="1" t="n">
        <v>44937</v>
      </c>
      <c r="C739" s="1" t="n">
        <v>45837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2094-2023</t>
        </is>
      </c>
      <c r="B740" s="1" t="n">
        <v>44939</v>
      </c>
      <c r="C740" s="1" t="n">
        <v>45837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2095-2023</t>
        </is>
      </c>
      <c r="B741" s="1" t="n">
        <v>44939</v>
      </c>
      <c r="C741" s="1" t="n">
        <v>45837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2093-2023</t>
        </is>
      </c>
      <c r="B742" s="1" t="n">
        <v>44939</v>
      </c>
      <c r="C742" s="1" t="n">
        <v>45837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45837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</v>
      </c>
      <c r="C744" s="1" t="n">
        <v>45837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3556-2023</t>
        </is>
      </c>
      <c r="B745" s="1" t="n">
        <v>44950</v>
      </c>
      <c r="C745" s="1" t="n">
        <v>45837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3858-2023</t>
        </is>
      </c>
      <c r="B746" s="1" t="n">
        <v>44951</v>
      </c>
      <c r="C746" s="1" t="n">
        <v>45837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3997-2023</t>
        </is>
      </c>
      <c r="B747" s="1" t="n">
        <v>44952</v>
      </c>
      <c r="C747" s="1" t="n">
        <v>45837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5458-2023</t>
        </is>
      </c>
      <c r="B748" s="1" t="n">
        <v>44960</v>
      </c>
      <c r="C748" s="1" t="n">
        <v>45837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6541-2023</t>
        </is>
      </c>
      <c r="B749" s="1" t="n">
        <v>44966</v>
      </c>
      <c r="C749" s="1" t="n">
        <v>45837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6980-2023</t>
        </is>
      </c>
      <c r="B750" s="1" t="n">
        <v>44967</v>
      </c>
      <c r="C750" s="1" t="n">
        <v>45837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6953-2023</t>
        </is>
      </c>
      <c r="B751" s="1" t="n">
        <v>44967</v>
      </c>
      <c r="C751" s="1" t="n">
        <v>45837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8112-2023</t>
        </is>
      </c>
      <c r="B752" s="1" t="n">
        <v>44970</v>
      </c>
      <c r="C752" s="1" t="n">
        <v>45837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7736-2023</t>
        </is>
      </c>
      <c r="B753" s="1" t="n">
        <v>44973</v>
      </c>
      <c r="C753" s="1" t="n">
        <v>45837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7727-2023</t>
        </is>
      </c>
      <c r="B754" s="1" t="n">
        <v>44973</v>
      </c>
      <c r="C754" s="1" t="n">
        <v>45837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8141-2023</t>
        </is>
      </c>
      <c r="B755" s="1" t="n">
        <v>44974</v>
      </c>
      <c r="C755" s="1" t="n">
        <v>45837</v>
      </c>
      <c r="D755" t="inlineStr">
        <is>
          <t>BLEKINGE LÄN</t>
        </is>
      </c>
      <c r="E755" t="inlineStr">
        <is>
          <t>KARLSKRONA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8150-2023</t>
        </is>
      </c>
      <c r="B756" s="1" t="n">
        <v>44974</v>
      </c>
      <c r="C756" s="1" t="n">
        <v>45837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8327-2023</t>
        </is>
      </c>
      <c r="B757" s="1" t="n">
        <v>44974</v>
      </c>
      <c r="C757" s="1" t="n">
        <v>45837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9384-2023</t>
        </is>
      </c>
      <c r="B758" s="1" t="n">
        <v>44981</v>
      </c>
      <c r="C758" s="1" t="n">
        <v>45837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9508-2023</t>
        </is>
      </c>
      <c r="B759" s="1" t="n">
        <v>44981</v>
      </c>
      <c r="C759" s="1" t="n">
        <v>45837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10656-2023</t>
        </is>
      </c>
      <c r="B760" s="1" t="n">
        <v>44984</v>
      </c>
      <c r="C760" s="1" t="n">
        <v>45837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10112-2023</t>
        </is>
      </c>
      <c r="B761" s="1" t="n">
        <v>44986</v>
      </c>
      <c r="C761" s="1" t="n">
        <v>45837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10267-2023</t>
        </is>
      </c>
      <c r="B762" s="1" t="n">
        <v>44986</v>
      </c>
      <c r="C762" s="1" t="n">
        <v>45837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10736-2023</t>
        </is>
      </c>
      <c r="B763" s="1" t="n">
        <v>44988</v>
      </c>
      <c r="C763" s="1" t="n">
        <v>45837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10735-2023</t>
        </is>
      </c>
      <c r="B764" s="1" t="n">
        <v>44988</v>
      </c>
      <c r="C764" s="1" t="n">
        <v>45837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11253-2023</t>
        </is>
      </c>
      <c r="B765" s="1" t="n">
        <v>44988</v>
      </c>
      <c r="C765" s="1" t="n">
        <v>45837</v>
      </c>
      <c r="D765" t="inlineStr">
        <is>
          <t>BLEKINGE LÄN</t>
        </is>
      </c>
      <c r="E765" t="inlineStr">
        <is>
          <t>KARLSKRONA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10733-2023</t>
        </is>
      </c>
      <c r="B766" s="1" t="n">
        <v>44988</v>
      </c>
      <c r="C766" s="1" t="n">
        <v>45837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</v>
      </c>
      <c r="C767" s="1" t="n">
        <v>45837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10978-2023</t>
        </is>
      </c>
      <c r="B768" s="1" t="n">
        <v>44991</v>
      </c>
      <c r="C768" s="1" t="n">
        <v>45837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11807-2023</t>
        </is>
      </c>
      <c r="B769" s="1" t="n">
        <v>44994</v>
      </c>
      <c r="C769" s="1" t="n">
        <v>45837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12253-2023</t>
        </is>
      </c>
      <c r="B770" s="1" t="n">
        <v>44998</v>
      </c>
      <c r="C770" s="1" t="n">
        <v>45837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45837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12860-2023</t>
        </is>
      </c>
      <c r="B772" s="1" t="n">
        <v>45001</v>
      </c>
      <c r="C772" s="1" t="n">
        <v>45837</v>
      </c>
      <c r="D772" t="inlineStr">
        <is>
          <t>BLEKINGE LÄN</t>
        </is>
      </c>
      <c r="E772" t="inlineStr">
        <is>
          <t>KARLSKRONA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12945-2023</t>
        </is>
      </c>
      <c r="B773" s="1" t="n">
        <v>45001</v>
      </c>
      <c r="C773" s="1" t="n">
        <v>45837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12946-2023</t>
        </is>
      </c>
      <c r="B774" s="1" t="n">
        <v>45001</v>
      </c>
      <c r="C774" s="1" t="n">
        <v>45837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12944-2023</t>
        </is>
      </c>
      <c r="B775" s="1" t="n">
        <v>45001</v>
      </c>
      <c r="C775" s="1" t="n">
        <v>45837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13160-2023</t>
        </is>
      </c>
      <c r="B776" s="1" t="n">
        <v>45002</v>
      </c>
      <c r="C776" s="1" t="n">
        <v>45837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13194-2023</t>
        </is>
      </c>
      <c r="B777" s="1" t="n">
        <v>45002</v>
      </c>
      <c r="C777" s="1" t="n">
        <v>45837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13289-2023</t>
        </is>
      </c>
      <c r="B778" s="1" t="n">
        <v>45004</v>
      </c>
      <c r="C778" s="1" t="n">
        <v>45837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13370-2023</t>
        </is>
      </c>
      <c r="B779" s="1" t="n">
        <v>45005</v>
      </c>
      <c r="C779" s="1" t="n">
        <v>45837</v>
      </c>
      <c r="D779" t="inlineStr">
        <is>
          <t>BLEKINGE LÄN</t>
        </is>
      </c>
      <c r="E779" t="inlineStr">
        <is>
          <t>KARLSKRONA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45837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45837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14131-2023</t>
        </is>
      </c>
      <c r="B782" s="1" t="n">
        <v>45009</v>
      </c>
      <c r="C782" s="1" t="n">
        <v>45837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14345-2023</t>
        </is>
      </c>
      <c r="B783" s="1" t="n">
        <v>45012</v>
      </c>
      <c r="C783" s="1" t="n">
        <v>45837</v>
      </c>
      <c r="D783" t="inlineStr">
        <is>
          <t>BLEKINGE LÄN</t>
        </is>
      </c>
      <c r="E783" t="inlineStr">
        <is>
          <t>KARLSKRONA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14346-2023</t>
        </is>
      </c>
      <c r="B784" s="1" t="n">
        <v>45012</v>
      </c>
      <c r="C784" s="1" t="n">
        <v>45837</v>
      </c>
      <c r="D784" t="inlineStr">
        <is>
          <t>BLEKINGE LÄN</t>
        </is>
      </c>
      <c r="E784" t="inlineStr">
        <is>
          <t>KARLSKRONA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14448-2023</t>
        </is>
      </c>
      <c r="B785" s="1" t="n">
        <v>45012</v>
      </c>
      <c r="C785" s="1" t="n">
        <v>45837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45837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14415-2023</t>
        </is>
      </c>
      <c r="B787" s="1" t="n">
        <v>45012</v>
      </c>
      <c r="C787" s="1" t="n">
        <v>45837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14554-2023</t>
        </is>
      </c>
      <c r="B788" s="1" t="n">
        <v>45013</v>
      </c>
      <c r="C788" s="1" t="n">
        <v>45837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14559-2023</t>
        </is>
      </c>
      <c r="B789" s="1" t="n">
        <v>45013</v>
      </c>
      <c r="C789" s="1" t="n">
        <v>45837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14618-2023</t>
        </is>
      </c>
      <c r="B790" s="1" t="n">
        <v>45013</v>
      </c>
      <c r="C790" s="1" t="n">
        <v>45837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</v>
      </c>
      <c r="C791" s="1" t="n">
        <v>45837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14648-2023</t>
        </is>
      </c>
      <c r="B792" s="1" t="n">
        <v>45013</v>
      </c>
      <c r="C792" s="1" t="n">
        <v>45837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14853-2023</t>
        </is>
      </c>
      <c r="B793" s="1" t="n">
        <v>45015</v>
      </c>
      <c r="C793" s="1" t="n">
        <v>45837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15022-2023</t>
        </is>
      </c>
      <c r="B794" s="1" t="n">
        <v>45015</v>
      </c>
      <c r="C794" s="1" t="n">
        <v>45837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15126-2023</t>
        </is>
      </c>
      <c r="B795" s="1" t="n">
        <v>45016</v>
      </c>
      <c r="C795" s="1" t="n">
        <v>45837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15241-2023</t>
        </is>
      </c>
      <c r="B796" s="1" t="n">
        <v>45019</v>
      </c>
      <c r="C796" s="1" t="n">
        <v>45837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15240-2023</t>
        </is>
      </c>
      <c r="B797" s="1" t="n">
        <v>45019</v>
      </c>
      <c r="C797" s="1" t="n">
        <v>45837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15333-2023</t>
        </is>
      </c>
      <c r="B798" s="1" t="n">
        <v>45019</v>
      </c>
      <c r="C798" s="1" t="n">
        <v>45837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15460-2023</t>
        </is>
      </c>
      <c r="B799" s="1" t="n">
        <v>45020</v>
      </c>
      <c r="C799" s="1" t="n">
        <v>45837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16095-2023</t>
        </is>
      </c>
      <c r="B800" s="1" t="n">
        <v>45027</v>
      </c>
      <c r="C800" s="1" t="n">
        <v>45837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16517-2023</t>
        </is>
      </c>
      <c r="B801" s="1" t="n">
        <v>45027</v>
      </c>
      <c r="C801" s="1" t="n">
        <v>45837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16529-2023</t>
        </is>
      </c>
      <c r="B802" s="1" t="n">
        <v>45027</v>
      </c>
      <c r="C802" s="1" t="n">
        <v>45837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45837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16284-2023</t>
        </is>
      </c>
      <c r="B804" s="1" t="n">
        <v>45028</v>
      </c>
      <c r="C804" s="1" t="n">
        <v>45837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</v>
      </c>
      <c r="C805" s="1" t="n">
        <v>45837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16278-2023</t>
        </is>
      </c>
      <c r="B806" s="1" t="n">
        <v>45028</v>
      </c>
      <c r="C806" s="1" t="n">
        <v>45837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16292-2023</t>
        </is>
      </c>
      <c r="B807" s="1" t="n">
        <v>45028</v>
      </c>
      <c r="C807" s="1" t="n">
        <v>45837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16275-2023</t>
        </is>
      </c>
      <c r="B808" s="1" t="n">
        <v>45028</v>
      </c>
      <c r="C808" s="1" t="n">
        <v>45837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16282-2023</t>
        </is>
      </c>
      <c r="B809" s="1" t="n">
        <v>45028</v>
      </c>
      <c r="C809" s="1" t="n">
        <v>45837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16290-2023</t>
        </is>
      </c>
      <c r="B810" s="1" t="n">
        <v>45028</v>
      </c>
      <c r="C810" s="1" t="n">
        <v>45837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16401-2023</t>
        </is>
      </c>
      <c r="B811" s="1" t="n">
        <v>45029</v>
      </c>
      <c r="C811" s="1" t="n">
        <v>45837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16579-2023</t>
        </is>
      </c>
      <c r="B812" s="1" t="n">
        <v>45030</v>
      </c>
      <c r="C812" s="1" t="n">
        <v>45837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17170-2023</t>
        </is>
      </c>
      <c r="B813" s="1" t="n">
        <v>45030</v>
      </c>
      <c r="C813" s="1" t="n">
        <v>45837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17092-2023</t>
        </is>
      </c>
      <c r="B814" s="1" t="n">
        <v>45034</v>
      </c>
      <c r="C814" s="1" t="n">
        <v>45837</v>
      </c>
      <c r="D814" t="inlineStr">
        <is>
          <t>BLEKINGE LÄN</t>
        </is>
      </c>
      <c r="E814" t="inlineStr">
        <is>
          <t>KARLSKRONA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17273-2023</t>
        </is>
      </c>
      <c r="B815" s="1" t="n">
        <v>45035</v>
      </c>
      <c r="C815" s="1" t="n">
        <v>45837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17275-2023</t>
        </is>
      </c>
      <c r="B816" s="1" t="n">
        <v>45035</v>
      </c>
      <c r="C816" s="1" t="n">
        <v>45837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17627-2023</t>
        </is>
      </c>
      <c r="B817" s="1" t="n">
        <v>45035</v>
      </c>
      <c r="C817" s="1" t="n">
        <v>45837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17716-2023</t>
        </is>
      </c>
      <c r="B818" s="1" t="n">
        <v>45035</v>
      </c>
      <c r="C818" s="1" t="n">
        <v>45837</v>
      </c>
      <c r="D818" t="inlineStr">
        <is>
          <t>BLEKINGE LÄN</t>
        </is>
      </c>
      <c r="E818" t="inlineStr">
        <is>
          <t>KARLSKRONA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17820-2023</t>
        </is>
      </c>
      <c r="B819" s="1" t="n">
        <v>45037</v>
      </c>
      <c r="C819" s="1" t="n">
        <v>45837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17819-2023</t>
        </is>
      </c>
      <c r="B820" s="1" t="n">
        <v>45037</v>
      </c>
      <c r="C820" s="1" t="n">
        <v>45837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18133-2023</t>
        </is>
      </c>
      <c r="B821" s="1" t="n">
        <v>45040</v>
      </c>
      <c r="C821" s="1" t="n">
        <v>45837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17971-2023</t>
        </is>
      </c>
      <c r="B822" s="1" t="n">
        <v>45040</v>
      </c>
      <c r="C822" s="1" t="n">
        <v>45837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18730-2023</t>
        </is>
      </c>
      <c r="B823" s="1" t="n">
        <v>45042</v>
      </c>
      <c r="C823" s="1" t="n">
        <v>45837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18719-2023</t>
        </is>
      </c>
      <c r="B824" s="1" t="n">
        <v>45043</v>
      </c>
      <c r="C824" s="1" t="n">
        <v>45837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19105-2023</t>
        </is>
      </c>
      <c r="B825" s="1" t="n">
        <v>45048</v>
      </c>
      <c r="C825" s="1" t="n">
        <v>45837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45837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19321-2023</t>
        </is>
      </c>
      <c r="B827" s="1" t="n">
        <v>45049</v>
      </c>
      <c r="C827" s="1" t="n">
        <v>45837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19414-2023</t>
        </is>
      </c>
      <c r="B828" s="1" t="n">
        <v>45049</v>
      </c>
      <c r="C828" s="1" t="n">
        <v>45837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45837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19647-2023</t>
        </is>
      </c>
      <c r="B830" s="1" t="n">
        <v>45050</v>
      </c>
      <c r="C830" s="1" t="n">
        <v>45837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19604-2023</t>
        </is>
      </c>
      <c r="B831" s="1" t="n">
        <v>45050</v>
      </c>
      <c r="C831" s="1" t="n">
        <v>45837</v>
      </c>
      <c r="D831" t="inlineStr">
        <is>
          <t>BLEKINGE LÄN</t>
        </is>
      </c>
      <c r="E831" t="inlineStr">
        <is>
          <t>KARLSKRONA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19645-2023</t>
        </is>
      </c>
      <c r="B832" s="1" t="n">
        <v>45051</v>
      </c>
      <c r="C832" s="1" t="n">
        <v>45837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20119-2023</t>
        </is>
      </c>
      <c r="B833" s="1" t="n">
        <v>45055</v>
      </c>
      <c r="C833" s="1" t="n">
        <v>45837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20123-2023</t>
        </is>
      </c>
      <c r="B834" s="1" t="n">
        <v>45055</v>
      </c>
      <c r="C834" s="1" t="n">
        <v>45837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20656-2023</t>
        </is>
      </c>
      <c r="B835" s="1" t="n">
        <v>45055</v>
      </c>
      <c r="C835" s="1" t="n">
        <v>45837</v>
      </c>
      <c r="D835" t="inlineStr">
        <is>
          <t>BLEKINGE LÄN</t>
        </is>
      </c>
      <c r="E835" t="inlineStr">
        <is>
          <t>KARLSKRONA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20358-2023</t>
        </is>
      </c>
      <c r="B836" s="1" t="n">
        <v>45056</v>
      </c>
      <c r="C836" s="1" t="n">
        <v>45837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20529-2023</t>
        </is>
      </c>
      <c r="B837" s="1" t="n">
        <v>45057</v>
      </c>
      <c r="C837" s="1" t="n">
        <v>45837</v>
      </c>
      <c r="D837" t="inlineStr">
        <is>
          <t>BLEKINGE LÄN</t>
        </is>
      </c>
      <c r="E837" t="inlineStr">
        <is>
          <t>KARLSKRONA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20526-2023</t>
        </is>
      </c>
      <c r="B838" s="1" t="n">
        <v>45057</v>
      </c>
      <c r="C838" s="1" t="n">
        <v>45837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20492-2023</t>
        </is>
      </c>
      <c r="B839" s="1" t="n">
        <v>45057</v>
      </c>
      <c r="C839" s="1" t="n">
        <v>45837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20527-2023</t>
        </is>
      </c>
      <c r="B840" s="1" t="n">
        <v>45057</v>
      </c>
      <c r="C840" s="1" t="n">
        <v>45837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20719-2023</t>
        </is>
      </c>
      <c r="B841" s="1" t="n">
        <v>45058</v>
      </c>
      <c r="C841" s="1" t="n">
        <v>45837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20683-2023</t>
        </is>
      </c>
      <c r="B842" s="1" t="n">
        <v>45058</v>
      </c>
      <c r="C842" s="1" t="n">
        <v>45837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21437-2023</t>
        </is>
      </c>
      <c r="B843" s="1" t="n">
        <v>45058</v>
      </c>
      <c r="C843" s="1" t="n">
        <v>45837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21148-2023</t>
        </is>
      </c>
      <c r="B844" s="1" t="n">
        <v>45062</v>
      </c>
      <c r="C844" s="1" t="n">
        <v>45837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</v>
      </c>
      <c r="C845" s="1" t="n">
        <v>45837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22147-2023</t>
        </is>
      </c>
      <c r="B846" s="1" t="n">
        <v>45069</v>
      </c>
      <c r="C846" s="1" t="n">
        <v>45837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22310-2023</t>
        </is>
      </c>
      <c r="B847" s="1" t="n">
        <v>45070</v>
      </c>
      <c r="C847" s="1" t="n">
        <v>45837</v>
      </c>
      <c r="D847" t="inlineStr">
        <is>
          <t>BLEKINGE LÄN</t>
        </is>
      </c>
      <c r="E847" t="inlineStr">
        <is>
          <t>KARLSKRONA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24613-2023</t>
        </is>
      </c>
      <c r="B848" s="1" t="n">
        <v>45070</v>
      </c>
      <c r="C848" s="1" t="n">
        <v>45837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23072-2023</t>
        </is>
      </c>
      <c r="B849" s="1" t="n">
        <v>45070</v>
      </c>
      <c r="C849" s="1" t="n">
        <v>45837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24617-2023</t>
        </is>
      </c>
      <c r="B850" s="1" t="n">
        <v>45070</v>
      </c>
      <c r="C850" s="1" t="n">
        <v>45837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23099-2023</t>
        </is>
      </c>
      <c r="B851" s="1" t="n">
        <v>45075</v>
      </c>
      <c r="C851" s="1" t="n">
        <v>45837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23104-2023</t>
        </is>
      </c>
      <c r="B852" s="1" t="n">
        <v>45075</v>
      </c>
      <c r="C852" s="1" t="n">
        <v>45837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23098-2023</t>
        </is>
      </c>
      <c r="B853" s="1" t="n">
        <v>45075</v>
      </c>
      <c r="C853" s="1" t="n">
        <v>45837</v>
      </c>
      <c r="D853" t="inlineStr">
        <is>
          <t>BLEKINGE LÄN</t>
        </is>
      </c>
      <c r="E853" t="inlineStr">
        <is>
          <t>KARLSKRONA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23144-2023</t>
        </is>
      </c>
      <c r="B854" s="1" t="n">
        <v>45075</v>
      </c>
      <c r="C854" s="1" t="n">
        <v>45837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45837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23158-2023</t>
        </is>
      </c>
      <c r="B856" s="1" t="n">
        <v>45075</v>
      </c>
      <c r="C856" s="1" t="n">
        <v>45837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23381-2023</t>
        </is>
      </c>
      <c r="B857" s="1" t="n">
        <v>45076</v>
      </c>
      <c r="C857" s="1" t="n">
        <v>45837</v>
      </c>
      <c r="D857" t="inlineStr">
        <is>
          <t>BLEKINGE LÄN</t>
        </is>
      </c>
      <c r="E857" t="inlineStr">
        <is>
          <t>KARLSKRONA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23410-2023</t>
        </is>
      </c>
      <c r="B858" s="1" t="n">
        <v>45076</v>
      </c>
      <c r="C858" s="1" t="n">
        <v>45837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23393-2023</t>
        </is>
      </c>
      <c r="B859" s="1" t="n">
        <v>45076</v>
      </c>
      <c r="C859" s="1" t="n">
        <v>45837</v>
      </c>
      <c r="D859" t="inlineStr">
        <is>
          <t>BLEKINGE LÄN</t>
        </is>
      </c>
      <c r="E859" t="inlineStr">
        <is>
          <t>KARLSKRONA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23506-2023</t>
        </is>
      </c>
      <c r="B860" s="1" t="n">
        <v>45076</v>
      </c>
      <c r="C860" s="1" t="n">
        <v>45837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23505-2023</t>
        </is>
      </c>
      <c r="B861" s="1" t="n">
        <v>45076</v>
      </c>
      <c r="C861" s="1" t="n">
        <v>45837</v>
      </c>
      <c r="D861" t="inlineStr">
        <is>
          <t>BLEKINGE LÄN</t>
        </is>
      </c>
      <c r="E861" t="inlineStr">
        <is>
          <t>KARLSKRONA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23507-2023</t>
        </is>
      </c>
      <c r="B862" s="1" t="n">
        <v>45076</v>
      </c>
      <c r="C862" s="1" t="n">
        <v>45837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23592-2023</t>
        </is>
      </c>
      <c r="B863" s="1" t="n">
        <v>45077</v>
      </c>
      <c r="C863" s="1" t="n">
        <v>45837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23679-2023</t>
        </is>
      </c>
      <c r="B864" s="1" t="n">
        <v>45077</v>
      </c>
      <c r="C864" s="1" t="n">
        <v>45837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24286-2023</t>
        </is>
      </c>
      <c r="B865" s="1" t="n">
        <v>45079</v>
      </c>
      <c r="C865" s="1" t="n">
        <v>45837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24328-2023</t>
        </is>
      </c>
      <c r="B866" s="1" t="n">
        <v>45080</v>
      </c>
      <c r="C866" s="1" t="n">
        <v>45837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24482-2023</t>
        </is>
      </c>
      <c r="B867" s="1" t="n">
        <v>45082</v>
      </c>
      <c r="C867" s="1" t="n">
        <v>45837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24468-2023</t>
        </is>
      </c>
      <c r="B868" s="1" t="n">
        <v>45082</v>
      </c>
      <c r="C868" s="1" t="n">
        <v>45837</v>
      </c>
      <c r="D868" t="inlineStr">
        <is>
          <t>BLEKINGE LÄN</t>
        </is>
      </c>
      <c r="E868" t="inlineStr">
        <is>
          <t>KARLSKRONA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24668-2023</t>
        </is>
      </c>
      <c r="B869" s="1" t="n">
        <v>45084</v>
      </c>
      <c r="C869" s="1" t="n">
        <v>45837</v>
      </c>
      <c r="D869" t="inlineStr">
        <is>
          <t>BLEKINGE LÄN</t>
        </is>
      </c>
      <c r="E869" t="inlineStr">
        <is>
          <t>KARLSKRONA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24938-2023</t>
        </is>
      </c>
      <c r="B870" s="1" t="n">
        <v>45085</v>
      </c>
      <c r="C870" s="1" t="n">
        <v>45837</v>
      </c>
      <c r="D870" t="inlineStr">
        <is>
          <t>BLEKINGE LÄN</t>
        </is>
      </c>
      <c r="E870" t="inlineStr">
        <is>
          <t>KARLSKRONA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24931-2023</t>
        </is>
      </c>
      <c r="B871" s="1" t="n">
        <v>45085</v>
      </c>
      <c r="C871" s="1" t="n">
        <v>45837</v>
      </c>
      <c r="D871" t="inlineStr">
        <is>
          <t>BLEKINGE LÄN</t>
        </is>
      </c>
      <c r="E871" t="inlineStr">
        <is>
          <t>KARLSKRONA</t>
        </is>
      </c>
      <c r="G871" t="n">
        <v>10.9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24910-2023</t>
        </is>
      </c>
      <c r="B872" s="1" t="n">
        <v>45085</v>
      </c>
      <c r="C872" s="1" t="n">
        <v>45837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24951-2023</t>
        </is>
      </c>
      <c r="B873" s="1" t="n">
        <v>45085</v>
      </c>
      <c r="C873" s="1" t="n">
        <v>45837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24948-2023</t>
        </is>
      </c>
      <c r="B874" s="1" t="n">
        <v>45085</v>
      </c>
      <c r="C874" s="1" t="n">
        <v>45837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24959-2023</t>
        </is>
      </c>
      <c r="B875" s="1" t="n">
        <v>45085</v>
      </c>
      <c r="C875" s="1" t="n">
        <v>45837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45837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24946-2023</t>
        </is>
      </c>
      <c r="B877" s="1" t="n">
        <v>45085</v>
      </c>
      <c r="C877" s="1" t="n">
        <v>45837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25455-2023</t>
        </is>
      </c>
      <c r="B878" s="1" t="n">
        <v>45089</v>
      </c>
      <c r="C878" s="1" t="n">
        <v>45837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25450-2023</t>
        </is>
      </c>
      <c r="B879" s="1" t="n">
        <v>45089</v>
      </c>
      <c r="C879" s="1" t="n">
        <v>45837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25975-2023</t>
        </is>
      </c>
      <c r="B880" s="1" t="n">
        <v>45090</v>
      </c>
      <c r="C880" s="1" t="n">
        <v>45837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26842-2023</t>
        </is>
      </c>
      <c r="B881" s="1" t="n">
        <v>45090</v>
      </c>
      <c r="C881" s="1" t="n">
        <v>45837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26156-2023</t>
        </is>
      </c>
      <c r="B882" s="1" t="n">
        <v>45091</v>
      </c>
      <c r="C882" s="1" t="n">
        <v>45837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26277-2023</t>
        </is>
      </c>
      <c r="B883" s="1" t="n">
        <v>45091</v>
      </c>
      <c r="C883" s="1" t="n">
        <v>45837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26496-2023</t>
        </is>
      </c>
      <c r="B884" s="1" t="n">
        <v>45092</v>
      </c>
      <c r="C884" s="1" t="n">
        <v>45837</v>
      </c>
      <c r="D884" t="inlineStr">
        <is>
          <t>BLEKINGE LÄN</t>
        </is>
      </c>
      <c r="E884" t="inlineStr">
        <is>
          <t>KARLSKRONA</t>
        </is>
      </c>
      <c r="G884" t="n">
        <v>23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26572-2023</t>
        </is>
      </c>
      <c r="B885" s="1" t="n">
        <v>45092</v>
      </c>
      <c r="C885" s="1" t="n">
        <v>45837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26578-2023</t>
        </is>
      </c>
      <c r="B886" s="1" t="n">
        <v>45092</v>
      </c>
      <c r="C886" s="1" t="n">
        <v>45837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26606-2023</t>
        </is>
      </c>
      <c r="B887" s="1" t="n">
        <v>45092</v>
      </c>
      <c r="C887" s="1" t="n">
        <v>45837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26486-2023</t>
        </is>
      </c>
      <c r="B888" s="1" t="n">
        <v>45092</v>
      </c>
      <c r="C888" s="1" t="n">
        <v>45837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26485-2023</t>
        </is>
      </c>
      <c r="B889" s="1" t="n">
        <v>45092</v>
      </c>
      <c r="C889" s="1" t="n">
        <v>45837</v>
      </c>
      <c r="D889" t="inlineStr">
        <is>
          <t>BLEKINGE LÄN</t>
        </is>
      </c>
      <c r="E889" t="inlineStr">
        <is>
          <t>KARLSKRONA</t>
        </is>
      </c>
      <c r="G889" t="n">
        <v>39.4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26490-2023</t>
        </is>
      </c>
      <c r="B890" s="1" t="n">
        <v>45092</v>
      </c>
      <c r="C890" s="1" t="n">
        <v>45837</v>
      </c>
      <c r="D890" t="inlineStr">
        <is>
          <t>BLEKINGE LÄN</t>
        </is>
      </c>
      <c r="E890" t="inlineStr">
        <is>
          <t>KARLSKRONA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26604-2023</t>
        </is>
      </c>
      <c r="B891" s="1" t="n">
        <v>45092</v>
      </c>
      <c r="C891" s="1" t="n">
        <v>45837</v>
      </c>
      <c r="D891" t="inlineStr">
        <is>
          <t>BLEKINGE LÄN</t>
        </is>
      </c>
      <c r="E891" t="inlineStr">
        <is>
          <t>KARLSKRONA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26605-2023</t>
        </is>
      </c>
      <c r="B892" s="1" t="n">
        <v>45092</v>
      </c>
      <c r="C892" s="1" t="n">
        <v>45837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</v>
      </c>
      <c r="C893" s="1" t="n">
        <v>45837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26917-2023</t>
        </is>
      </c>
      <c r="B894" s="1" t="n">
        <v>45093</v>
      </c>
      <c r="C894" s="1" t="n">
        <v>45837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27024-2023</t>
        </is>
      </c>
      <c r="B895" s="1" t="n">
        <v>45094</v>
      </c>
      <c r="C895" s="1" t="n">
        <v>45837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27025-2023</t>
        </is>
      </c>
      <c r="B896" s="1" t="n">
        <v>45095</v>
      </c>
      <c r="C896" s="1" t="n">
        <v>45837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27619-2023</t>
        </is>
      </c>
      <c r="B897" s="1" t="n">
        <v>45097</v>
      </c>
      <c r="C897" s="1" t="n">
        <v>45837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27740-2023</t>
        </is>
      </c>
      <c r="B898" s="1" t="n">
        <v>45098</v>
      </c>
      <c r="C898" s="1" t="n">
        <v>45837</v>
      </c>
      <c r="D898" t="inlineStr">
        <is>
          <t>BLEKINGE LÄN</t>
        </is>
      </c>
      <c r="E898" t="inlineStr">
        <is>
          <t>KARLSKRONA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27762-2023</t>
        </is>
      </c>
      <c r="B899" s="1" t="n">
        <v>45098</v>
      </c>
      <c r="C899" s="1" t="n">
        <v>45837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28269-2023</t>
        </is>
      </c>
      <c r="B900" s="1" t="n">
        <v>45099</v>
      </c>
      <c r="C900" s="1" t="n">
        <v>45837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28642-2023</t>
        </is>
      </c>
      <c r="B901" s="1" t="n">
        <v>45103</v>
      </c>
      <c r="C901" s="1" t="n">
        <v>45837</v>
      </c>
      <c r="D901" t="inlineStr">
        <is>
          <t>BLEKINGE LÄN</t>
        </is>
      </c>
      <c r="E901" t="inlineStr">
        <is>
          <t>KARLSKRONA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31296-2023</t>
        </is>
      </c>
      <c r="B902" s="1" t="n">
        <v>45104</v>
      </c>
      <c r="C902" s="1" t="n">
        <v>45837</v>
      </c>
      <c r="D902" t="inlineStr">
        <is>
          <t>BLEKINGE LÄN</t>
        </is>
      </c>
      <c r="E902" t="inlineStr">
        <is>
          <t>KARLSKRONA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29121-2023</t>
        </is>
      </c>
      <c r="B903" s="1" t="n">
        <v>45105</v>
      </c>
      <c r="C903" s="1" t="n">
        <v>45837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29120-2023</t>
        </is>
      </c>
      <c r="B904" s="1" t="n">
        <v>45105</v>
      </c>
      <c r="C904" s="1" t="n">
        <v>45837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29367-2023</t>
        </is>
      </c>
      <c r="B905" s="1" t="n">
        <v>45106</v>
      </c>
      <c r="C905" s="1" t="n">
        <v>45837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29352-2023</t>
        </is>
      </c>
      <c r="B906" s="1" t="n">
        <v>45106</v>
      </c>
      <c r="C906" s="1" t="n">
        <v>45837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29356-2023</t>
        </is>
      </c>
      <c r="B907" s="1" t="n">
        <v>45106</v>
      </c>
      <c r="C907" s="1" t="n">
        <v>45837</v>
      </c>
      <c r="D907" t="inlineStr">
        <is>
          <t>BLEKINGE LÄN</t>
        </is>
      </c>
      <c r="E907" t="inlineStr">
        <is>
          <t>KARLSKRONA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29353-2023</t>
        </is>
      </c>
      <c r="B908" s="1" t="n">
        <v>45106</v>
      </c>
      <c r="C908" s="1" t="n">
        <v>45837</v>
      </c>
      <c r="D908" t="inlineStr">
        <is>
          <t>BLEKINGE LÄN</t>
        </is>
      </c>
      <c r="E908" t="inlineStr">
        <is>
          <t>KARLSKRONA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29357-2023</t>
        </is>
      </c>
      <c r="B909" s="1" t="n">
        <v>45106</v>
      </c>
      <c r="C909" s="1" t="n">
        <v>45837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29361-2023</t>
        </is>
      </c>
      <c r="B910" s="1" t="n">
        <v>45106</v>
      </c>
      <c r="C910" s="1" t="n">
        <v>45837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29365-2023</t>
        </is>
      </c>
      <c r="B911" s="1" t="n">
        <v>45106</v>
      </c>
      <c r="C911" s="1" t="n">
        <v>45837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29389-2023</t>
        </is>
      </c>
      <c r="B912" s="1" t="n">
        <v>45106</v>
      </c>
      <c r="C912" s="1" t="n">
        <v>45837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29394-2023</t>
        </is>
      </c>
      <c r="B913" s="1" t="n">
        <v>45106</v>
      </c>
      <c r="C913" s="1" t="n">
        <v>45837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29422-2023</t>
        </is>
      </c>
      <c r="B914" s="1" t="n">
        <v>45106</v>
      </c>
      <c r="C914" s="1" t="n">
        <v>45837</v>
      </c>
      <c r="D914" t="inlineStr">
        <is>
          <t>BLEKINGE LÄN</t>
        </is>
      </c>
      <c r="E914" t="inlineStr">
        <is>
          <t>KARLSKRONA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29914-2023</t>
        </is>
      </c>
      <c r="B915" s="1" t="n">
        <v>45107</v>
      </c>
      <c r="C915" s="1" t="n">
        <v>45837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29785-2023</t>
        </is>
      </c>
      <c r="B916" s="1" t="n">
        <v>45107</v>
      </c>
      <c r="C916" s="1" t="n">
        <v>45837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29913-2023</t>
        </is>
      </c>
      <c r="B917" s="1" t="n">
        <v>45107</v>
      </c>
      <c r="C917" s="1" t="n">
        <v>45837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29911-2023</t>
        </is>
      </c>
      <c r="B918" s="1" t="n">
        <v>45107</v>
      </c>
      <c r="C918" s="1" t="n">
        <v>45837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29915-2023</t>
        </is>
      </c>
      <c r="B919" s="1" t="n">
        <v>45107</v>
      </c>
      <c r="C919" s="1" t="n">
        <v>45837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29969-2023</t>
        </is>
      </c>
      <c r="B920" s="1" t="n">
        <v>45108</v>
      </c>
      <c r="C920" s="1" t="n">
        <v>45837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30176-2023</t>
        </is>
      </c>
      <c r="B921" s="1" t="n">
        <v>45110</v>
      </c>
      <c r="C921" s="1" t="n">
        <v>45837</v>
      </c>
      <c r="D921" t="inlineStr">
        <is>
          <t>BLEKINGE LÄN</t>
        </is>
      </c>
      <c r="E921" t="inlineStr">
        <is>
          <t>KARLSKRONA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30181-2023</t>
        </is>
      </c>
      <c r="B922" s="1" t="n">
        <v>45110</v>
      </c>
      <c r="C922" s="1" t="n">
        <v>45837</v>
      </c>
      <c r="D922" t="inlineStr">
        <is>
          <t>BLEKINGE LÄN</t>
        </is>
      </c>
      <c r="E922" t="inlineStr">
        <is>
          <t>KARLSKRONA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30188-2023</t>
        </is>
      </c>
      <c r="B923" s="1" t="n">
        <v>45110</v>
      </c>
      <c r="C923" s="1" t="n">
        <v>45837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30883-2023</t>
        </is>
      </c>
      <c r="B924" s="1" t="n">
        <v>45113</v>
      </c>
      <c r="C924" s="1" t="n">
        <v>45837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30954-2023</t>
        </is>
      </c>
      <c r="B925" s="1" t="n">
        <v>45113</v>
      </c>
      <c r="C925" s="1" t="n">
        <v>45837</v>
      </c>
      <c r="D925" t="inlineStr">
        <is>
          <t>BLEKINGE LÄN</t>
        </is>
      </c>
      <c r="E925" t="inlineStr">
        <is>
          <t>KARLSKRONA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30958-2023</t>
        </is>
      </c>
      <c r="B926" s="1" t="n">
        <v>45113</v>
      </c>
      <c r="C926" s="1" t="n">
        <v>45837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30956-2023</t>
        </is>
      </c>
      <c r="B927" s="1" t="n">
        <v>45113</v>
      </c>
      <c r="C927" s="1" t="n">
        <v>45837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45837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33555-2023</t>
        </is>
      </c>
      <c r="B929" s="1" t="n">
        <v>45118</v>
      </c>
      <c r="C929" s="1" t="n">
        <v>45837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32014-2023</t>
        </is>
      </c>
      <c r="B930" s="1" t="n">
        <v>45119</v>
      </c>
      <c r="C930" s="1" t="n">
        <v>45837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33018-2023</t>
        </is>
      </c>
      <c r="B931" s="1" t="n">
        <v>45125</v>
      </c>
      <c r="C931" s="1" t="n">
        <v>45837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33161-2023</t>
        </is>
      </c>
      <c r="B932" s="1" t="n">
        <v>45126</v>
      </c>
      <c r="C932" s="1" t="n">
        <v>45837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33214-2023</t>
        </is>
      </c>
      <c r="B933" s="1" t="n">
        <v>45127</v>
      </c>
      <c r="C933" s="1" t="n">
        <v>45837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33215-2023</t>
        </is>
      </c>
      <c r="B934" s="1" t="n">
        <v>45127</v>
      </c>
      <c r="C934" s="1" t="n">
        <v>45837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33234-2023</t>
        </is>
      </c>
      <c r="B935" s="1" t="n">
        <v>45127</v>
      </c>
      <c r="C935" s="1" t="n">
        <v>45837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33238-2023</t>
        </is>
      </c>
      <c r="B936" s="1" t="n">
        <v>45127</v>
      </c>
      <c r="C936" s="1" t="n">
        <v>45837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34268-2023</t>
        </is>
      </c>
      <c r="B937" s="1" t="n">
        <v>45127</v>
      </c>
      <c r="C937" s="1" t="n">
        <v>45837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34283-2023</t>
        </is>
      </c>
      <c r="B938" s="1" t="n">
        <v>45127</v>
      </c>
      <c r="C938" s="1" t="n">
        <v>45837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33607-2023</t>
        </is>
      </c>
      <c r="B939" s="1" t="n">
        <v>45132</v>
      </c>
      <c r="C939" s="1" t="n">
        <v>45837</v>
      </c>
      <c r="D939" t="inlineStr">
        <is>
          <t>BLEKINGE LÄN</t>
        </is>
      </c>
      <c r="E939" t="inlineStr">
        <is>
          <t>KARLSKRONA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34395-2023</t>
        </is>
      </c>
      <c r="B940" s="1" t="n">
        <v>45132</v>
      </c>
      <c r="C940" s="1" t="n">
        <v>45837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33855-2023</t>
        </is>
      </c>
      <c r="B941" s="1" t="n">
        <v>45133</v>
      </c>
      <c r="C941" s="1" t="n">
        <v>45837</v>
      </c>
      <c r="D941" t="inlineStr">
        <is>
          <t>BLEKINGE LÄN</t>
        </is>
      </c>
      <c r="E941" t="inlineStr">
        <is>
          <t>KARLSKRONA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33854-2023</t>
        </is>
      </c>
      <c r="B942" s="1" t="n">
        <v>45133</v>
      </c>
      <c r="C942" s="1" t="n">
        <v>45837</v>
      </c>
      <c r="D942" t="inlineStr">
        <is>
          <t>BLEKINGE LÄN</t>
        </is>
      </c>
      <c r="E942" t="inlineStr">
        <is>
          <t>KARLSKRONA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34109-2023</t>
        </is>
      </c>
      <c r="B943" s="1" t="n">
        <v>45135</v>
      </c>
      <c r="C943" s="1" t="n">
        <v>45837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34111-2023</t>
        </is>
      </c>
      <c r="B944" s="1" t="n">
        <v>45135</v>
      </c>
      <c r="C944" s="1" t="n">
        <v>45837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34264-2023</t>
        </is>
      </c>
      <c r="B945" s="1" t="n">
        <v>45138</v>
      </c>
      <c r="C945" s="1" t="n">
        <v>45837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34533-2023</t>
        </is>
      </c>
      <c r="B946" s="1" t="n">
        <v>45140</v>
      </c>
      <c r="C946" s="1" t="n">
        <v>45837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34945-2023</t>
        </is>
      </c>
      <c r="B947" s="1" t="n">
        <v>45142</v>
      </c>
      <c r="C947" s="1" t="n">
        <v>45837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34949-2023</t>
        </is>
      </c>
      <c r="B948" s="1" t="n">
        <v>45142</v>
      </c>
      <c r="C948" s="1" t="n">
        <v>45837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34952-2023</t>
        </is>
      </c>
      <c r="B949" s="1" t="n">
        <v>45142</v>
      </c>
      <c r="C949" s="1" t="n">
        <v>45837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34963-2023</t>
        </is>
      </c>
      <c r="B950" s="1" t="n">
        <v>45142</v>
      </c>
      <c r="C950" s="1" t="n">
        <v>45837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35534-2023</t>
        </is>
      </c>
      <c r="B951" s="1" t="n">
        <v>45147</v>
      </c>
      <c r="C951" s="1" t="n">
        <v>45837</v>
      </c>
      <c r="D951" t="inlineStr">
        <is>
          <t>BLEKINGE LÄN</t>
        </is>
      </c>
      <c r="E951" t="inlineStr">
        <is>
          <t>KARLSKRONA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35575-2023</t>
        </is>
      </c>
      <c r="B952" s="1" t="n">
        <v>45147</v>
      </c>
      <c r="C952" s="1" t="n">
        <v>45837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35873-2023</t>
        </is>
      </c>
      <c r="B953" s="1" t="n">
        <v>45147</v>
      </c>
      <c r="C953" s="1" t="n">
        <v>45837</v>
      </c>
      <c r="D953" t="inlineStr">
        <is>
          <t>BLEKINGE LÄN</t>
        </is>
      </c>
      <c r="E953" t="inlineStr">
        <is>
          <t>KARLSKRONA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35807-2023</t>
        </is>
      </c>
      <c r="B954" s="1" t="n">
        <v>45148</v>
      </c>
      <c r="C954" s="1" t="n">
        <v>45837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36519-2023</t>
        </is>
      </c>
      <c r="B955" s="1" t="n">
        <v>45153</v>
      </c>
      <c r="C955" s="1" t="n">
        <v>45837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36520-2023</t>
        </is>
      </c>
      <c r="B956" s="1" t="n">
        <v>45153</v>
      </c>
      <c r="C956" s="1" t="n">
        <v>45837</v>
      </c>
      <c r="D956" t="inlineStr">
        <is>
          <t>BLEKINGE LÄN</t>
        </is>
      </c>
      <c r="E956" t="inlineStr">
        <is>
          <t>KARLSKRONA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36965-2023</t>
        </is>
      </c>
      <c r="B957" s="1" t="n">
        <v>45155</v>
      </c>
      <c r="C957" s="1" t="n">
        <v>45837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36964-2023</t>
        </is>
      </c>
      <c r="B958" s="1" t="n">
        <v>45155</v>
      </c>
      <c r="C958" s="1" t="n">
        <v>45837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36966-2023</t>
        </is>
      </c>
      <c r="B959" s="1" t="n">
        <v>45155</v>
      </c>
      <c r="C959" s="1" t="n">
        <v>45837</v>
      </c>
      <c r="D959" t="inlineStr">
        <is>
          <t>BLEKINGE LÄN</t>
        </is>
      </c>
      <c r="E959" t="inlineStr">
        <is>
          <t>KARLSKRONA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37020-2023</t>
        </is>
      </c>
      <c r="B960" s="1" t="n">
        <v>45155</v>
      </c>
      <c r="C960" s="1" t="n">
        <v>45837</v>
      </c>
      <c r="D960" t="inlineStr">
        <is>
          <t>BLEKINGE LÄN</t>
        </is>
      </c>
      <c r="E960" t="inlineStr">
        <is>
          <t>KARLSKRONA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37216-2023</t>
        </is>
      </c>
      <c r="B961" s="1" t="n">
        <v>45155</v>
      </c>
      <c r="C961" s="1" t="n">
        <v>45837</v>
      </c>
      <c r="D961" t="inlineStr">
        <is>
          <t>BLEKINGE LÄN</t>
        </is>
      </c>
      <c r="E961" t="inlineStr">
        <is>
          <t>KARLSKRONA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37133-2023</t>
        </is>
      </c>
      <c r="B962" s="1" t="n">
        <v>45155</v>
      </c>
      <c r="C962" s="1" t="n">
        <v>45837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37430-2023</t>
        </is>
      </c>
      <c r="B963" s="1" t="n">
        <v>45156</v>
      </c>
      <c r="C963" s="1" t="n">
        <v>45837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37276-2023</t>
        </is>
      </c>
      <c r="B964" s="1" t="n">
        <v>45156</v>
      </c>
      <c r="C964" s="1" t="n">
        <v>45837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37379-2023</t>
        </is>
      </c>
      <c r="B965" s="1" t="n">
        <v>45156</v>
      </c>
      <c r="C965" s="1" t="n">
        <v>45837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37522-2023</t>
        </is>
      </c>
      <c r="B966" s="1" t="n">
        <v>45158</v>
      </c>
      <c r="C966" s="1" t="n">
        <v>45837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37621-2023</t>
        </is>
      </c>
      <c r="B967" s="1" t="n">
        <v>45159</v>
      </c>
      <c r="C967" s="1" t="n">
        <v>45837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37627-2023</t>
        </is>
      </c>
      <c r="B968" s="1" t="n">
        <v>45159</v>
      </c>
      <c r="C968" s="1" t="n">
        <v>45837</v>
      </c>
      <c r="D968" t="inlineStr">
        <is>
          <t>BLEKINGE LÄN</t>
        </is>
      </c>
      <c r="E968" t="inlineStr">
        <is>
          <t>KARLSKRONA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37600-2023</t>
        </is>
      </c>
      <c r="B969" s="1" t="n">
        <v>45159</v>
      </c>
      <c r="C969" s="1" t="n">
        <v>45837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37608-2023</t>
        </is>
      </c>
      <c r="B970" s="1" t="n">
        <v>45159</v>
      </c>
      <c r="C970" s="1" t="n">
        <v>45837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38187-2023</t>
        </is>
      </c>
      <c r="B971" s="1" t="n">
        <v>45161</v>
      </c>
      <c r="C971" s="1" t="n">
        <v>45837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38185-2023</t>
        </is>
      </c>
      <c r="B972" s="1" t="n">
        <v>45161</v>
      </c>
      <c r="C972" s="1" t="n">
        <v>45837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38392-2023</t>
        </is>
      </c>
      <c r="B973" s="1" t="n">
        <v>45162</v>
      </c>
      <c r="C973" s="1" t="n">
        <v>45837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38522-2023</t>
        </is>
      </c>
      <c r="B974" s="1" t="n">
        <v>45162</v>
      </c>
      <c r="C974" s="1" t="n">
        <v>45837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38526-2023</t>
        </is>
      </c>
      <c r="B975" s="1" t="n">
        <v>45162</v>
      </c>
      <c r="C975" s="1" t="n">
        <v>45837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38530-2023</t>
        </is>
      </c>
      <c r="B976" s="1" t="n">
        <v>45162</v>
      </c>
      <c r="C976" s="1" t="n">
        <v>45837</v>
      </c>
      <c r="D976" t="inlineStr">
        <is>
          <t>BLEKINGE LÄN</t>
        </is>
      </c>
      <c r="E976" t="inlineStr">
        <is>
          <t>KARLSKRONA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38588-2023</t>
        </is>
      </c>
      <c r="B977" s="1" t="n">
        <v>45162</v>
      </c>
      <c r="C977" s="1" t="n">
        <v>45837</v>
      </c>
      <c r="D977" t="inlineStr">
        <is>
          <t>BLEKINGE LÄN</t>
        </is>
      </c>
      <c r="E977" t="inlineStr">
        <is>
          <t>KARLSKRONA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38619-2023</t>
        </is>
      </c>
      <c r="B978" s="1" t="n">
        <v>45162</v>
      </c>
      <c r="C978" s="1" t="n">
        <v>45837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38869-2023</t>
        </is>
      </c>
      <c r="B979" s="1" t="n">
        <v>45163</v>
      </c>
      <c r="C979" s="1" t="n">
        <v>45837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38870-2023</t>
        </is>
      </c>
      <c r="B980" s="1" t="n">
        <v>45163</v>
      </c>
      <c r="C980" s="1" t="n">
        <v>45837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39547-2023</t>
        </is>
      </c>
      <c r="B981" s="1" t="n">
        <v>45163</v>
      </c>
      <c r="C981" s="1" t="n">
        <v>45837</v>
      </c>
      <c r="D981" t="inlineStr">
        <is>
          <t>BLEKINGE LÄN</t>
        </is>
      </c>
      <c r="E981" t="inlineStr">
        <is>
          <t>KARLSKRONA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39121-2023</t>
        </is>
      </c>
      <c r="B982" s="1" t="n">
        <v>45165</v>
      </c>
      <c r="C982" s="1" t="n">
        <v>45837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39325-2023</t>
        </is>
      </c>
      <c r="B983" s="1" t="n">
        <v>45166</v>
      </c>
      <c r="C983" s="1" t="n">
        <v>45837</v>
      </c>
      <c r="D983" t="inlineStr">
        <is>
          <t>BLEKINGE LÄN</t>
        </is>
      </c>
      <c r="E983" t="inlineStr">
        <is>
          <t>KARLSKRONA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39228-2023</t>
        </is>
      </c>
      <c r="B984" s="1" t="n">
        <v>45166</v>
      </c>
      <c r="C984" s="1" t="n">
        <v>45837</v>
      </c>
      <c r="D984" t="inlineStr">
        <is>
          <t>BLEKINGE LÄN</t>
        </is>
      </c>
      <c r="E984" t="inlineStr">
        <is>
          <t>KARLSKRONA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39391-2023</t>
        </is>
      </c>
      <c r="B985" s="1" t="n">
        <v>45166</v>
      </c>
      <c r="C985" s="1" t="n">
        <v>45837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39381-2023</t>
        </is>
      </c>
      <c r="B986" s="1" t="n">
        <v>45166</v>
      </c>
      <c r="C986" s="1" t="n">
        <v>45837</v>
      </c>
      <c r="D986" t="inlineStr">
        <is>
          <t>BLEKINGE LÄN</t>
        </is>
      </c>
      <c r="E986" t="inlineStr">
        <is>
          <t>KARLSKRONA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39236-2023</t>
        </is>
      </c>
      <c r="B987" s="1" t="n">
        <v>45166</v>
      </c>
      <c r="C987" s="1" t="n">
        <v>45837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39273-2023</t>
        </is>
      </c>
      <c r="B988" s="1" t="n">
        <v>45166</v>
      </c>
      <c r="C988" s="1" t="n">
        <v>45837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40078-2023</t>
        </is>
      </c>
      <c r="B989" s="1" t="n">
        <v>45168</v>
      </c>
      <c r="C989" s="1" t="n">
        <v>45837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40082-2023</t>
        </is>
      </c>
      <c r="B990" s="1" t="n">
        <v>45168</v>
      </c>
      <c r="C990" s="1" t="n">
        <v>45837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40080-2023</t>
        </is>
      </c>
      <c r="B991" s="1" t="n">
        <v>45168</v>
      </c>
      <c r="C991" s="1" t="n">
        <v>45837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40490-2023</t>
        </is>
      </c>
      <c r="B992" s="1" t="n">
        <v>45168</v>
      </c>
      <c r="C992" s="1" t="n">
        <v>45837</v>
      </c>
      <c r="D992" t="inlineStr">
        <is>
          <t>BLEKINGE LÄN</t>
        </is>
      </c>
      <c r="E992" t="inlineStr">
        <is>
          <t>KARLSKRONA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40219-2023</t>
        </is>
      </c>
      <c r="B993" s="1" t="n">
        <v>45169</v>
      </c>
      <c r="C993" s="1" t="n">
        <v>45837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40315-2023</t>
        </is>
      </c>
      <c r="B994" s="1" t="n">
        <v>45169</v>
      </c>
      <c r="C994" s="1" t="n">
        <v>45837</v>
      </c>
      <c r="D994" t="inlineStr">
        <is>
          <t>BLEKINGE LÄN</t>
        </is>
      </c>
      <c r="E994" t="inlineStr">
        <is>
          <t>KARLSKRONA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40319-2023</t>
        </is>
      </c>
      <c r="B995" s="1" t="n">
        <v>45169</v>
      </c>
      <c r="C995" s="1" t="n">
        <v>45837</v>
      </c>
      <c r="D995" t="inlineStr">
        <is>
          <t>BLEKINGE LÄN</t>
        </is>
      </c>
      <c r="E995" t="inlineStr">
        <is>
          <t>KARLSKRONA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40324-2023</t>
        </is>
      </c>
      <c r="B996" s="1" t="n">
        <v>45169</v>
      </c>
      <c r="C996" s="1" t="n">
        <v>45837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40471-2023</t>
        </is>
      </c>
      <c r="B997" s="1" t="n">
        <v>45170</v>
      </c>
      <c r="C997" s="1" t="n">
        <v>45837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40579-2023</t>
        </is>
      </c>
      <c r="B998" s="1" t="n">
        <v>45170</v>
      </c>
      <c r="C998" s="1" t="n">
        <v>45837</v>
      </c>
      <c r="D998" t="inlineStr">
        <is>
          <t>BLEKINGE LÄN</t>
        </is>
      </c>
      <c r="E998" t="inlineStr">
        <is>
          <t>KARLSKRONA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40631-2023</t>
        </is>
      </c>
      <c r="B999" s="1" t="n">
        <v>45170</v>
      </c>
      <c r="C999" s="1" t="n">
        <v>45837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40714-2023</t>
        </is>
      </c>
      <c r="B1000" s="1" t="n">
        <v>45170</v>
      </c>
      <c r="C1000" s="1" t="n">
        <v>45837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40947-2023</t>
        </is>
      </c>
      <c r="B1001" s="1" t="n">
        <v>45173</v>
      </c>
      <c r="C1001" s="1" t="n">
        <v>45837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40951-2023</t>
        </is>
      </c>
      <c r="B1002" s="1" t="n">
        <v>45173</v>
      </c>
      <c r="C1002" s="1" t="n">
        <v>45837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41035-2023</t>
        </is>
      </c>
      <c r="B1003" s="1" t="n">
        <v>45173</v>
      </c>
      <c r="C1003" s="1" t="n">
        <v>45837</v>
      </c>
      <c r="D1003" t="inlineStr">
        <is>
          <t>BLEKINGE LÄN</t>
        </is>
      </c>
      <c r="E1003" t="inlineStr">
        <is>
          <t>KARLSKRONA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40881-2023</t>
        </is>
      </c>
      <c r="B1004" s="1" t="n">
        <v>45173</v>
      </c>
      <c r="C1004" s="1" t="n">
        <v>45837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40936-2023</t>
        </is>
      </c>
      <c r="B1005" s="1" t="n">
        <v>45173</v>
      </c>
      <c r="C1005" s="1" t="n">
        <v>45837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40944-2023</t>
        </is>
      </c>
      <c r="B1006" s="1" t="n">
        <v>45173</v>
      </c>
      <c r="C1006" s="1" t="n">
        <v>45837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41243-2023</t>
        </is>
      </c>
      <c r="B1007" s="1" t="n">
        <v>45174</v>
      </c>
      <c r="C1007" s="1" t="n">
        <v>45837</v>
      </c>
      <c r="D1007" t="inlineStr">
        <is>
          <t>BLEKINGE LÄN</t>
        </is>
      </c>
      <c r="E1007" t="inlineStr">
        <is>
          <t>KARLSKRONA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45837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42174-2023</t>
        </is>
      </c>
      <c r="B1009" s="1" t="n">
        <v>45178</v>
      </c>
      <c r="C1009" s="1" t="n">
        <v>45837</v>
      </c>
      <c r="D1009" t="inlineStr">
        <is>
          <t>BLEKINGE LÄN</t>
        </is>
      </c>
      <c r="E1009" t="inlineStr">
        <is>
          <t>KARLSKRONA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42323-2023</t>
        </is>
      </c>
      <c r="B1010" s="1" t="n">
        <v>45180</v>
      </c>
      <c r="C1010" s="1" t="n">
        <v>45837</v>
      </c>
      <c r="D1010" t="inlineStr">
        <is>
          <t>BLEKINGE LÄN</t>
        </is>
      </c>
      <c r="E1010" t="inlineStr">
        <is>
          <t>KARLSKRONA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42342-2023</t>
        </is>
      </c>
      <c r="B1011" s="1" t="n">
        <v>45180</v>
      </c>
      <c r="C1011" s="1" t="n">
        <v>45837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42418-2023</t>
        </is>
      </c>
      <c r="B1012" s="1" t="n">
        <v>45180</v>
      </c>
      <c r="C1012" s="1" t="n">
        <v>45837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42335-2023</t>
        </is>
      </c>
      <c r="B1013" s="1" t="n">
        <v>45180</v>
      </c>
      <c r="C1013" s="1" t="n">
        <v>45837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42430-2023</t>
        </is>
      </c>
      <c r="B1014" s="1" t="n">
        <v>45180</v>
      </c>
      <c r="C1014" s="1" t="n">
        <v>45837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42340-2023</t>
        </is>
      </c>
      <c r="B1015" s="1" t="n">
        <v>45180</v>
      </c>
      <c r="C1015" s="1" t="n">
        <v>45837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45837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42861-2023</t>
        </is>
      </c>
      <c r="B1017" s="1" t="n">
        <v>45182</v>
      </c>
      <c r="C1017" s="1" t="n">
        <v>45837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43070-2023</t>
        </is>
      </c>
      <c r="B1018" s="1" t="n">
        <v>45182</v>
      </c>
      <c r="C1018" s="1" t="n">
        <v>45837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44584-2023</t>
        </is>
      </c>
      <c r="B1019" s="1" t="n">
        <v>45183</v>
      </c>
      <c r="C1019" s="1" t="n">
        <v>45837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44120-2023</t>
        </is>
      </c>
      <c r="B1020" s="1" t="n">
        <v>45188</v>
      </c>
      <c r="C1020" s="1" t="n">
        <v>45837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44123-2023</t>
        </is>
      </c>
      <c r="B1021" s="1" t="n">
        <v>45188</v>
      </c>
      <c r="C1021" s="1" t="n">
        <v>45837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44122-2023</t>
        </is>
      </c>
      <c r="B1022" s="1" t="n">
        <v>45188</v>
      </c>
      <c r="C1022" s="1" t="n">
        <v>45837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44126-2023</t>
        </is>
      </c>
      <c r="B1023" s="1" t="n">
        <v>45188</v>
      </c>
      <c r="C1023" s="1" t="n">
        <v>45837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44164-2023</t>
        </is>
      </c>
      <c r="B1024" s="1" t="n">
        <v>45188</v>
      </c>
      <c r="C1024" s="1" t="n">
        <v>45837</v>
      </c>
      <c r="D1024" t="inlineStr">
        <is>
          <t>BLEKINGE LÄN</t>
        </is>
      </c>
      <c r="E1024" t="inlineStr">
        <is>
          <t>KARLSKRONA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45443-2023</t>
        </is>
      </c>
      <c r="B1025" s="1" t="n">
        <v>45188</v>
      </c>
      <c r="C1025" s="1" t="n">
        <v>45837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44552-2023</t>
        </is>
      </c>
      <c r="B1026" s="1" t="n">
        <v>45189</v>
      </c>
      <c r="C1026" s="1" t="n">
        <v>45837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44555-2023</t>
        </is>
      </c>
      <c r="B1027" s="1" t="n">
        <v>45189</v>
      </c>
      <c r="C1027" s="1" t="n">
        <v>45837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45392-2023</t>
        </is>
      </c>
      <c r="B1028" s="1" t="n">
        <v>45194</v>
      </c>
      <c r="C1028" s="1" t="n">
        <v>45837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45391-2023</t>
        </is>
      </c>
      <c r="B1029" s="1" t="n">
        <v>45194</v>
      </c>
      <c r="C1029" s="1" t="n">
        <v>45837</v>
      </c>
      <c r="D1029" t="inlineStr">
        <is>
          <t>BLEKINGE LÄN</t>
        </is>
      </c>
      <c r="E1029" t="inlineStr">
        <is>
          <t>KARLSKRONA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45440-2023</t>
        </is>
      </c>
      <c r="B1030" s="1" t="n">
        <v>45194</v>
      </c>
      <c r="C1030" s="1" t="n">
        <v>45837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45437-2023</t>
        </is>
      </c>
      <c r="B1031" s="1" t="n">
        <v>45194</v>
      </c>
      <c r="C1031" s="1" t="n">
        <v>45837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45573-2023</t>
        </is>
      </c>
      <c r="B1032" s="1" t="n">
        <v>45194</v>
      </c>
      <c r="C1032" s="1" t="n">
        <v>45837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45435-2023</t>
        </is>
      </c>
      <c r="B1033" s="1" t="n">
        <v>45194</v>
      </c>
      <c r="C1033" s="1" t="n">
        <v>45837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45736-2023</t>
        </is>
      </c>
      <c r="B1034" s="1" t="n">
        <v>45195</v>
      </c>
      <c r="C1034" s="1" t="n">
        <v>45837</v>
      </c>
      <c r="D1034" t="inlineStr">
        <is>
          <t>BLEKINGE LÄN</t>
        </is>
      </c>
      <c r="E1034" t="inlineStr">
        <is>
          <t>KARLSKRONA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45908-2023</t>
        </is>
      </c>
      <c r="B1035" s="1" t="n">
        <v>45195</v>
      </c>
      <c r="C1035" s="1" t="n">
        <v>45837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46178-2023</t>
        </is>
      </c>
      <c r="B1036" s="1" t="n">
        <v>45196</v>
      </c>
      <c r="C1036" s="1" t="n">
        <v>45837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46027-2023</t>
        </is>
      </c>
      <c r="B1037" s="1" t="n">
        <v>45196</v>
      </c>
      <c r="C1037" s="1" t="n">
        <v>45837</v>
      </c>
      <c r="D1037" t="inlineStr">
        <is>
          <t>BLEKINGE LÄN</t>
        </is>
      </c>
      <c r="E1037" t="inlineStr">
        <is>
          <t>KARLSKRONA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46640-2023</t>
        </is>
      </c>
      <c r="B1038" s="1" t="n">
        <v>45198</v>
      </c>
      <c r="C1038" s="1" t="n">
        <v>45837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46712-2023</t>
        </is>
      </c>
      <c r="B1039" s="1" t="n">
        <v>45198</v>
      </c>
      <c r="C1039" s="1" t="n">
        <v>45837</v>
      </c>
      <c r="D1039" t="inlineStr">
        <is>
          <t>BLEKINGE LÄN</t>
        </is>
      </c>
      <c r="E1039" t="inlineStr">
        <is>
          <t>KARLSKRONA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48386-2023</t>
        </is>
      </c>
      <c r="B1040" s="1" t="n">
        <v>45200</v>
      </c>
      <c r="C1040" s="1" t="n">
        <v>45837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47336-2023</t>
        </is>
      </c>
      <c r="B1041" s="1" t="n">
        <v>45202</v>
      </c>
      <c r="C1041" s="1" t="n">
        <v>45837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47399-2023</t>
        </is>
      </c>
      <c r="B1042" s="1" t="n">
        <v>45202</v>
      </c>
      <c r="C1042" s="1" t="n">
        <v>45837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47411-2023</t>
        </is>
      </c>
      <c r="B1043" s="1" t="n">
        <v>45202</v>
      </c>
      <c r="C1043" s="1" t="n">
        <v>45837</v>
      </c>
      <c r="D1043" t="inlineStr">
        <is>
          <t>BLEKINGE LÄN</t>
        </is>
      </c>
      <c r="E1043" t="inlineStr">
        <is>
          <t>KARLSKRONA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47408-2023</t>
        </is>
      </c>
      <c r="B1044" s="1" t="n">
        <v>45202</v>
      </c>
      <c r="C1044" s="1" t="n">
        <v>45837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48013-2023</t>
        </is>
      </c>
      <c r="B1045" s="1" t="n">
        <v>45204</v>
      </c>
      <c r="C1045" s="1" t="n">
        <v>45837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47992-2023</t>
        </is>
      </c>
      <c r="B1046" s="1" t="n">
        <v>45204</v>
      </c>
      <c r="C1046" s="1" t="n">
        <v>45837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48449-2023</t>
        </is>
      </c>
      <c r="B1047" s="1" t="n">
        <v>45206</v>
      </c>
      <c r="C1047" s="1" t="n">
        <v>45837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48739-2023</t>
        </is>
      </c>
      <c r="B1048" s="1" t="n">
        <v>45208</v>
      </c>
      <c r="C1048" s="1" t="n">
        <v>45837</v>
      </c>
      <c r="D1048" t="inlineStr">
        <is>
          <t>BLEKINGE LÄN</t>
        </is>
      </c>
      <c r="E1048" t="inlineStr">
        <is>
          <t>KARLSKRONA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49032-2023</t>
        </is>
      </c>
      <c r="B1049" s="1" t="n">
        <v>45210</v>
      </c>
      <c r="C1049" s="1" t="n">
        <v>45837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49093-2023</t>
        </is>
      </c>
      <c r="B1050" s="1" t="n">
        <v>45210</v>
      </c>
      <c r="C1050" s="1" t="n">
        <v>45837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49095-2023</t>
        </is>
      </c>
      <c r="B1051" s="1" t="n">
        <v>45210</v>
      </c>
      <c r="C1051" s="1" t="n">
        <v>45837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49440-2023</t>
        </is>
      </c>
      <c r="B1052" s="1" t="n">
        <v>45211</v>
      </c>
      <c r="C1052" s="1" t="n">
        <v>45837</v>
      </c>
      <c r="D1052" t="inlineStr">
        <is>
          <t>BLEKINGE LÄN</t>
        </is>
      </c>
      <c r="E1052" t="inlineStr">
        <is>
          <t>KARLSKRONA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49499-2023</t>
        </is>
      </c>
      <c r="B1053" s="1" t="n">
        <v>45211</v>
      </c>
      <c r="C1053" s="1" t="n">
        <v>45837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49497-2023</t>
        </is>
      </c>
      <c r="B1054" s="1" t="n">
        <v>45211</v>
      </c>
      <c r="C1054" s="1" t="n">
        <v>45837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49501-2023</t>
        </is>
      </c>
      <c r="B1055" s="1" t="n">
        <v>45211</v>
      </c>
      <c r="C1055" s="1" t="n">
        <v>45837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49542-2023</t>
        </is>
      </c>
      <c r="B1056" s="1" t="n">
        <v>45211</v>
      </c>
      <c r="C1056" s="1" t="n">
        <v>45837</v>
      </c>
      <c r="D1056" t="inlineStr">
        <is>
          <t>BLEKINGE LÄN</t>
        </is>
      </c>
      <c r="E1056" t="inlineStr">
        <is>
          <t>KARLSKRONA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49736-2023</t>
        </is>
      </c>
      <c r="B1057" s="1" t="n">
        <v>45212</v>
      </c>
      <c r="C1057" s="1" t="n">
        <v>45837</v>
      </c>
      <c r="D1057" t="inlineStr">
        <is>
          <t>BLEKINGE LÄN</t>
        </is>
      </c>
      <c r="E1057" t="inlineStr">
        <is>
          <t>KARLSKRONA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49848-2023</t>
        </is>
      </c>
      <c r="B1058" s="1" t="n">
        <v>45212</v>
      </c>
      <c r="C1058" s="1" t="n">
        <v>45837</v>
      </c>
      <c r="D1058" t="inlineStr">
        <is>
          <t>BLEKINGE LÄN</t>
        </is>
      </c>
      <c r="E1058" t="inlineStr">
        <is>
          <t>KARLSKRONA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49845-2023</t>
        </is>
      </c>
      <c r="B1059" s="1" t="n">
        <v>45212</v>
      </c>
      <c r="C1059" s="1" t="n">
        <v>45837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49941-2023</t>
        </is>
      </c>
      <c r="B1060" s="1" t="n">
        <v>45215</v>
      </c>
      <c r="C1060" s="1" t="n">
        <v>45837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50015-2023</t>
        </is>
      </c>
      <c r="B1061" s="1" t="n">
        <v>45215</v>
      </c>
      <c r="C1061" s="1" t="n">
        <v>45837</v>
      </c>
      <c r="D1061" t="inlineStr">
        <is>
          <t>BLEKINGE LÄN</t>
        </is>
      </c>
      <c r="E1061" t="inlineStr">
        <is>
          <t>KARLSKRONA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50295-2023</t>
        </is>
      </c>
      <c r="B1062" s="1" t="n">
        <v>45216</v>
      </c>
      <c r="C1062" s="1" t="n">
        <v>45837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50546-2023</t>
        </is>
      </c>
      <c r="B1063" s="1" t="n">
        <v>45217</v>
      </c>
      <c r="C1063" s="1" t="n">
        <v>45837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50897-2023</t>
        </is>
      </c>
      <c r="B1064" s="1" t="n">
        <v>45218</v>
      </c>
      <c r="C1064" s="1" t="n">
        <v>45837</v>
      </c>
      <c r="D1064" t="inlineStr">
        <is>
          <t>BLEKINGE LÄN</t>
        </is>
      </c>
      <c r="E1064" t="inlineStr">
        <is>
          <t>KARLSKRONA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50902-2023</t>
        </is>
      </c>
      <c r="B1065" s="1" t="n">
        <v>45218</v>
      </c>
      <c r="C1065" s="1" t="n">
        <v>45837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</v>
      </c>
      <c r="C1066" s="1" t="n">
        <v>45837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50967-2023</t>
        </is>
      </c>
      <c r="B1067" s="1" t="n">
        <v>45218</v>
      </c>
      <c r="C1067" s="1" t="n">
        <v>45837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51269-2023</t>
        </is>
      </c>
      <c r="B1068" s="1" t="n">
        <v>45219</v>
      </c>
      <c r="C1068" s="1" t="n">
        <v>45837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51539-2023</t>
        </is>
      </c>
      <c r="B1069" s="1" t="n">
        <v>45222</v>
      </c>
      <c r="C1069" s="1" t="n">
        <v>45837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51934-2023</t>
        </is>
      </c>
      <c r="B1070" s="1" t="n">
        <v>45223</v>
      </c>
      <c r="C1070" s="1" t="n">
        <v>45837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52097-2023</t>
        </is>
      </c>
      <c r="B1071" s="1" t="n">
        <v>45223</v>
      </c>
      <c r="C1071" s="1" t="n">
        <v>45837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52357-2023</t>
        </is>
      </c>
      <c r="B1072" s="1" t="n">
        <v>45224</v>
      </c>
      <c r="C1072" s="1" t="n">
        <v>45837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52271-2023</t>
        </is>
      </c>
      <c r="B1073" s="1" t="n">
        <v>45224</v>
      </c>
      <c r="C1073" s="1" t="n">
        <v>45837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52282-2023</t>
        </is>
      </c>
      <c r="B1074" s="1" t="n">
        <v>45224</v>
      </c>
      <c r="C1074" s="1" t="n">
        <v>45837</v>
      </c>
      <c r="D1074" t="inlineStr">
        <is>
          <t>BLEKINGE LÄN</t>
        </is>
      </c>
      <c r="E1074" t="inlineStr">
        <is>
          <t>KARLSKRONA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52702-2023</t>
        </is>
      </c>
      <c r="B1075" s="1" t="n">
        <v>45225</v>
      </c>
      <c r="C1075" s="1" t="n">
        <v>45837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52696-2023</t>
        </is>
      </c>
      <c r="B1076" s="1" t="n">
        <v>45225</v>
      </c>
      <c r="C1076" s="1" t="n">
        <v>45837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52701-2023</t>
        </is>
      </c>
      <c r="B1077" s="1" t="n">
        <v>45225</v>
      </c>
      <c r="C1077" s="1" t="n">
        <v>45837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53085-2023</t>
        </is>
      </c>
      <c r="B1078" s="1" t="n">
        <v>45227</v>
      </c>
      <c r="C1078" s="1" t="n">
        <v>45837</v>
      </c>
      <c r="D1078" t="inlineStr">
        <is>
          <t>BLEKINGE LÄN</t>
        </is>
      </c>
      <c r="E1078" t="inlineStr">
        <is>
          <t>KARLSKRONA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54629-2023</t>
        </is>
      </c>
      <c r="B1079" s="1" t="n">
        <v>45228</v>
      </c>
      <c r="C1079" s="1" t="n">
        <v>45837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54249-2023</t>
        </is>
      </c>
      <c r="B1080" s="1" t="n">
        <v>45232</v>
      </c>
      <c r="C1080" s="1" t="n">
        <v>45837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54367-2023</t>
        </is>
      </c>
      <c r="B1081" s="1" t="n">
        <v>45233</v>
      </c>
      <c r="C1081" s="1" t="n">
        <v>45837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54638-2023</t>
        </is>
      </c>
      <c r="B1082" s="1" t="n">
        <v>45234</v>
      </c>
      <c r="C1082" s="1" t="n">
        <v>45837</v>
      </c>
      <c r="D1082" t="inlineStr">
        <is>
          <t>BLEKINGE LÄN</t>
        </is>
      </c>
      <c r="E1082" t="inlineStr">
        <is>
          <t>KARLSKRONA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45837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54884-2023</t>
        </is>
      </c>
      <c r="B1084" s="1" t="n">
        <v>45236</v>
      </c>
      <c r="C1084" s="1" t="n">
        <v>45837</v>
      </c>
      <c r="D1084" t="inlineStr">
        <is>
          <t>BLEKINGE LÄN</t>
        </is>
      </c>
      <c r="E1084" t="inlineStr">
        <is>
          <t>KARLSKRONA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55434-2023</t>
        </is>
      </c>
      <c r="B1085" s="1" t="n">
        <v>45238</v>
      </c>
      <c r="C1085" s="1" t="n">
        <v>45837</v>
      </c>
      <c r="D1085" t="inlineStr">
        <is>
          <t>BLEKINGE LÄN</t>
        </is>
      </c>
      <c r="E1085" t="inlineStr">
        <is>
          <t>KARLSKRONA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55374-2023</t>
        </is>
      </c>
      <c r="B1086" s="1" t="n">
        <v>45238</v>
      </c>
      <c r="C1086" s="1" t="n">
        <v>45837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56600-2023</t>
        </is>
      </c>
      <c r="B1087" s="1" t="n">
        <v>45238</v>
      </c>
      <c r="C1087" s="1" t="n">
        <v>45837</v>
      </c>
      <c r="D1087" t="inlineStr">
        <is>
          <t>BLEKINGE LÄN</t>
        </is>
      </c>
      <c r="E1087" t="inlineStr">
        <is>
          <t>KARLSKRONA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55402-2023</t>
        </is>
      </c>
      <c r="B1088" s="1" t="n">
        <v>45238</v>
      </c>
      <c r="C1088" s="1" t="n">
        <v>45837</v>
      </c>
      <c r="D1088" t="inlineStr">
        <is>
          <t>BLEKINGE LÄN</t>
        </is>
      </c>
      <c r="E1088" t="inlineStr">
        <is>
          <t>KARLSKRONA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56003-2023</t>
        </is>
      </c>
      <c r="B1089" s="1" t="n">
        <v>45240</v>
      </c>
      <c r="C1089" s="1" t="n">
        <v>45837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56334-2023</t>
        </is>
      </c>
      <c r="B1090" s="1" t="n">
        <v>45243</v>
      </c>
      <c r="C1090" s="1" t="n">
        <v>45837</v>
      </c>
      <c r="D1090" t="inlineStr">
        <is>
          <t>BLEKINGE LÄN</t>
        </is>
      </c>
      <c r="E1090" t="inlineStr">
        <is>
          <t>KARLSKRONA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56670-2023</t>
        </is>
      </c>
      <c r="B1091" s="1" t="n">
        <v>45243</v>
      </c>
      <c r="C1091" s="1" t="n">
        <v>45837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56335-2023</t>
        </is>
      </c>
      <c r="B1092" s="1" t="n">
        <v>45243</v>
      </c>
      <c r="C1092" s="1" t="n">
        <v>45837</v>
      </c>
      <c r="D1092" t="inlineStr">
        <is>
          <t>BLEKINGE LÄN</t>
        </is>
      </c>
      <c r="E1092" t="inlineStr">
        <is>
          <t>KARLSKRONA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56612-2023</t>
        </is>
      </c>
      <c r="B1093" s="1" t="n">
        <v>45243</v>
      </c>
      <c r="C1093" s="1" t="n">
        <v>45837</v>
      </c>
      <c r="D1093" t="inlineStr">
        <is>
          <t>BLEKINGE LÄN</t>
        </is>
      </c>
      <c r="E1093" t="inlineStr">
        <is>
          <t>KARLSKRONA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57743-2023</t>
        </is>
      </c>
      <c r="B1094" s="1" t="n">
        <v>45243</v>
      </c>
      <c r="C1094" s="1" t="n">
        <v>45837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57742-2023</t>
        </is>
      </c>
      <c r="B1095" s="1" t="n">
        <v>45243</v>
      </c>
      <c r="C1095" s="1" t="n">
        <v>45837</v>
      </c>
      <c r="D1095" t="inlineStr">
        <is>
          <t>BLEKINGE LÄN</t>
        </is>
      </c>
      <c r="E1095" t="inlineStr">
        <is>
          <t>KARLSKRONA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57744-2023</t>
        </is>
      </c>
      <c r="B1096" s="1" t="n">
        <v>45243</v>
      </c>
      <c r="C1096" s="1" t="n">
        <v>45837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57741-2023</t>
        </is>
      </c>
      <c r="B1097" s="1" t="n">
        <v>45243</v>
      </c>
      <c r="C1097" s="1" t="n">
        <v>45837</v>
      </c>
      <c r="D1097" t="inlineStr">
        <is>
          <t>BLEKINGE LÄN</t>
        </is>
      </c>
      <c r="E1097" t="inlineStr">
        <is>
          <t>KARLSKRONA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57328-2023</t>
        </is>
      </c>
      <c r="B1098" s="1" t="n">
        <v>45245</v>
      </c>
      <c r="C1098" s="1" t="n">
        <v>45837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57222-2023</t>
        </is>
      </c>
      <c r="B1099" s="1" t="n">
        <v>45245</v>
      </c>
      <c r="C1099" s="1" t="n">
        <v>45837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57263-2023</t>
        </is>
      </c>
      <c r="B1100" s="1" t="n">
        <v>45245</v>
      </c>
      <c r="C1100" s="1" t="n">
        <v>45837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58385-2023</t>
        </is>
      </c>
      <c r="B1101" s="1" t="n">
        <v>45245</v>
      </c>
      <c r="C1101" s="1" t="n">
        <v>45837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57739-2023</t>
        </is>
      </c>
      <c r="B1102" s="1" t="n">
        <v>45246</v>
      </c>
      <c r="C1102" s="1" t="n">
        <v>45837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</v>
      </c>
      <c r="C1103" s="1" t="n">
        <v>45837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58409-2023</t>
        </is>
      </c>
      <c r="B1104" s="1" t="n">
        <v>45250</v>
      </c>
      <c r="C1104" s="1" t="n">
        <v>45837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58625-2023</t>
        </is>
      </c>
      <c r="B1105" s="1" t="n">
        <v>45251</v>
      </c>
      <c r="C1105" s="1" t="n">
        <v>45837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58729-2023</t>
        </is>
      </c>
      <c r="B1106" s="1" t="n">
        <v>45251</v>
      </c>
      <c r="C1106" s="1" t="n">
        <v>45837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58627-2023</t>
        </is>
      </c>
      <c r="B1107" s="1" t="n">
        <v>45251</v>
      </c>
      <c r="C1107" s="1" t="n">
        <v>45837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58727-2023</t>
        </is>
      </c>
      <c r="B1108" s="1" t="n">
        <v>45251</v>
      </c>
      <c r="C1108" s="1" t="n">
        <v>45837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58731-2023</t>
        </is>
      </c>
      <c r="B1109" s="1" t="n">
        <v>45251</v>
      </c>
      <c r="C1109" s="1" t="n">
        <v>45837</v>
      </c>
      <c r="D1109" t="inlineStr">
        <is>
          <t>BLEKINGE LÄN</t>
        </is>
      </c>
      <c r="E1109" t="inlineStr">
        <is>
          <t>KARLSKRONA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59038-2023</t>
        </is>
      </c>
      <c r="B1110" s="1" t="n">
        <v>45252</v>
      </c>
      <c r="C1110" s="1" t="n">
        <v>45837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59079-2023</t>
        </is>
      </c>
      <c r="B1111" s="1" t="n">
        <v>45252</v>
      </c>
      <c r="C1111" s="1" t="n">
        <v>45837</v>
      </c>
      <c r="D1111" t="inlineStr">
        <is>
          <t>BLEKINGE LÄN</t>
        </is>
      </c>
      <c r="E1111" t="inlineStr">
        <is>
          <t>KARLSKRONA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59183-2023</t>
        </is>
      </c>
      <c r="B1112" s="1" t="n">
        <v>45253</v>
      </c>
      <c r="C1112" s="1" t="n">
        <v>45837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59705-2023</t>
        </is>
      </c>
      <c r="B1113" s="1" t="n">
        <v>45256</v>
      </c>
      <c r="C1113" s="1" t="n">
        <v>45837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59707-2023</t>
        </is>
      </c>
      <c r="B1114" s="1" t="n">
        <v>45256</v>
      </c>
      <c r="C1114" s="1" t="n">
        <v>45837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59703-2023</t>
        </is>
      </c>
      <c r="B1115" s="1" t="n">
        <v>45256</v>
      </c>
      <c r="C1115" s="1" t="n">
        <v>45837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59792-2023</t>
        </is>
      </c>
      <c r="B1116" s="1" t="n">
        <v>45257</v>
      </c>
      <c r="C1116" s="1" t="n">
        <v>45837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59982-2023</t>
        </is>
      </c>
      <c r="B1117" s="1" t="n">
        <v>45257</v>
      </c>
      <c r="C1117" s="1" t="n">
        <v>45837</v>
      </c>
      <c r="D1117" t="inlineStr">
        <is>
          <t>BLEKINGE LÄN</t>
        </is>
      </c>
      <c r="E1117" t="inlineStr">
        <is>
          <t>KARLSKRONA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59981-2023</t>
        </is>
      </c>
      <c r="B1118" s="1" t="n">
        <v>45257</v>
      </c>
      <c r="C1118" s="1" t="n">
        <v>45837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60955-2023</t>
        </is>
      </c>
      <c r="B1119" s="1" t="n">
        <v>45261</v>
      </c>
      <c r="C1119" s="1" t="n">
        <v>45837</v>
      </c>
      <c r="D1119" t="inlineStr">
        <is>
          <t>BLEKINGE LÄN</t>
        </is>
      </c>
      <c r="E1119" t="inlineStr">
        <is>
          <t>KARLSKRONA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60960-2023</t>
        </is>
      </c>
      <c r="B1120" s="1" t="n">
        <v>45261</v>
      </c>
      <c r="C1120" s="1" t="n">
        <v>45837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45837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61863-2023</t>
        </is>
      </c>
      <c r="B1122" s="1" t="n">
        <v>45266</v>
      </c>
      <c r="C1122" s="1" t="n">
        <v>45837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61883-2023</t>
        </is>
      </c>
      <c r="B1123" s="1" t="n">
        <v>45266</v>
      </c>
      <c r="C1123" s="1" t="n">
        <v>45837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61861-2023</t>
        </is>
      </c>
      <c r="B1124" s="1" t="n">
        <v>45266</v>
      </c>
      <c r="C1124" s="1" t="n">
        <v>45837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61882-2023</t>
        </is>
      </c>
      <c r="B1125" s="1" t="n">
        <v>45266</v>
      </c>
      <c r="C1125" s="1" t="n">
        <v>45837</v>
      </c>
      <c r="D1125" t="inlineStr">
        <is>
          <t>BLEKINGE LÄN</t>
        </is>
      </c>
      <c r="E1125" t="inlineStr">
        <is>
          <t>KARLSKRONA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62679-2023</t>
        </is>
      </c>
      <c r="B1126" s="1" t="n">
        <v>45271</v>
      </c>
      <c r="C1126" s="1" t="n">
        <v>45837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62681-2023</t>
        </is>
      </c>
      <c r="B1127" s="1" t="n">
        <v>45271</v>
      </c>
      <c r="C1127" s="1" t="n">
        <v>45837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62960-2023</t>
        </is>
      </c>
      <c r="B1128" s="1" t="n">
        <v>45271</v>
      </c>
      <c r="C1128" s="1" t="n">
        <v>45837</v>
      </c>
      <c r="D1128" t="inlineStr">
        <is>
          <t>BLEKINGE LÄN</t>
        </is>
      </c>
      <c r="E1128" t="inlineStr">
        <is>
          <t>KARLSKRONA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63642-2023</t>
        </is>
      </c>
      <c r="B1129" s="1" t="n">
        <v>45275</v>
      </c>
      <c r="C1129" s="1" t="n">
        <v>45837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63878-2023</t>
        </is>
      </c>
      <c r="B1130" s="1" t="n">
        <v>45278</v>
      </c>
      <c r="C1130" s="1" t="n">
        <v>45837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63897-2023</t>
        </is>
      </c>
      <c r="B1131" s="1" t="n">
        <v>45278</v>
      </c>
      <c r="C1131" s="1" t="n">
        <v>45837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63899-2023</t>
        </is>
      </c>
      <c r="B1132" s="1" t="n">
        <v>45278</v>
      </c>
      <c r="C1132" s="1" t="n">
        <v>45837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63904-2023</t>
        </is>
      </c>
      <c r="B1133" s="1" t="n">
        <v>45278</v>
      </c>
      <c r="C1133" s="1" t="n">
        <v>45837</v>
      </c>
      <c r="D1133" t="inlineStr">
        <is>
          <t>BLEKINGE LÄN</t>
        </is>
      </c>
      <c r="E1133" t="inlineStr">
        <is>
          <t>KARLSKRONA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63981-2023</t>
        </is>
      </c>
      <c r="B1134" s="1" t="n">
        <v>45278</v>
      </c>
      <c r="C1134" s="1" t="n">
        <v>45837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64005-2023</t>
        </is>
      </c>
      <c r="B1135" s="1" t="n">
        <v>45278</v>
      </c>
      <c r="C1135" s="1" t="n">
        <v>45837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64056-2023</t>
        </is>
      </c>
      <c r="B1136" s="1" t="n">
        <v>45279</v>
      </c>
      <c r="C1136" s="1" t="n">
        <v>45837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64214-2023</t>
        </is>
      </c>
      <c r="B1137" s="1" t="n">
        <v>45279</v>
      </c>
      <c r="C1137" s="1" t="n">
        <v>45837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64212-2023</t>
        </is>
      </c>
      <c r="B1138" s="1" t="n">
        <v>45279</v>
      </c>
      <c r="C1138" s="1" t="n">
        <v>45837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64342-2023</t>
        </is>
      </c>
      <c r="B1139" s="1" t="n">
        <v>45279</v>
      </c>
      <c r="C1139" s="1" t="n">
        <v>45837</v>
      </c>
      <c r="D1139" t="inlineStr">
        <is>
          <t>BLEKINGE LÄN</t>
        </is>
      </c>
      <c r="E1139" t="inlineStr">
        <is>
          <t>KARLSKRONA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64434-2023</t>
        </is>
      </c>
      <c r="B1140" s="1" t="n">
        <v>45280</v>
      </c>
      <c r="C1140" s="1" t="n">
        <v>45837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64577-2023</t>
        </is>
      </c>
      <c r="B1141" s="1" t="n">
        <v>45281</v>
      </c>
      <c r="C1141" s="1" t="n">
        <v>45837</v>
      </c>
      <c r="D1141" t="inlineStr">
        <is>
          <t>BLEKINGE LÄN</t>
        </is>
      </c>
      <c r="E1141" t="inlineStr">
        <is>
          <t>KARLSKRONA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64913-2023</t>
        </is>
      </c>
      <c r="B1142" s="1" t="n">
        <v>45282</v>
      </c>
      <c r="C1142" s="1" t="n">
        <v>45837</v>
      </c>
      <c r="D1142" t="inlineStr">
        <is>
          <t>BLEKINGE LÄN</t>
        </is>
      </c>
      <c r="E1142" t="inlineStr">
        <is>
          <t>KARLSKRONA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601-2024</t>
        </is>
      </c>
      <c r="B1143" s="1" t="n">
        <v>45299</v>
      </c>
      <c r="C1143" s="1" t="n">
        <v>45837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638-2024</t>
        </is>
      </c>
      <c r="B1144" s="1" t="n">
        <v>45299</v>
      </c>
      <c r="C1144" s="1" t="n">
        <v>45837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972-2024</t>
        </is>
      </c>
      <c r="B1145" s="1" t="n">
        <v>45301</v>
      </c>
      <c r="C1145" s="1" t="n">
        <v>45837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922-2024</t>
        </is>
      </c>
      <c r="B1146" s="1" t="n">
        <v>45301</v>
      </c>
      <c r="C1146" s="1" t="n">
        <v>45837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1358-2024</t>
        </is>
      </c>
      <c r="B1147" s="1" t="n">
        <v>45303</v>
      </c>
      <c r="C1147" s="1" t="n">
        <v>45837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1356-2024</t>
        </is>
      </c>
      <c r="B1148" s="1" t="n">
        <v>45303</v>
      </c>
      <c r="C1148" s="1" t="n">
        <v>45837</v>
      </c>
      <c r="D1148" t="inlineStr">
        <is>
          <t>BLEKINGE LÄN</t>
        </is>
      </c>
      <c r="E1148" t="inlineStr">
        <is>
          <t>KARLSKRONA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1423-2024</t>
        </is>
      </c>
      <c r="B1149" s="1" t="n">
        <v>45303</v>
      </c>
      <c r="C1149" s="1" t="n">
        <v>45837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1689-2024</t>
        </is>
      </c>
      <c r="B1150" s="1" t="n">
        <v>45306</v>
      </c>
      <c r="C1150" s="1" t="n">
        <v>45837</v>
      </c>
      <c r="D1150" t="inlineStr">
        <is>
          <t>BLEKINGE LÄN</t>
        </is>
      </c>
      <c r="E1150" t="inlineStr">
        <is>
          <t>KARLSKRONA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</v>
      </c>
      <c r="C1151" s="1" t="n">
        <v>45837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</v>
      </c>
      <c r="C1152" s="1" t="n">
        <v>45837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2191-2024</t>
        </is>
      </c>
      <c r="B1153" s="1" t="n">
        <v>45309</v>
      </c>
      <c r="C1153" s="1" t="n">
        <v>45837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2096-2024</t>
        </is>
      </c>
      <c r="B1154" s="1" t="n">
        <v>45309</v>
      </c>
      <c r="C1154" s="1" t="n">
        <v>45837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2195-2024</t>
        </is>
      </c>
      <c r="B1155" s="1" t="n">
        <v>45309</v>
      </c>
      <c r="C1155" s="1" t="n">
        <v>45837</v>
      </c>
      <c r="D1155" t="inlineStr">
        <is>
          <t>BLEKINGE LÄN</t>
        </is>
      </c>
      <c r="E1155" t="inlineStr">
        <is>
          <t>KARLSKRONA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2489-2024</t>
        </is>
      </c>
      <c r="B1156" s="1" t="n">
        <v>45313</v>
      </c>
      <c r="C1156" s="1" t="n">
        <v>45837</v>
      </c>
      <c r="D1156" t="inlineStr">
        <is>
          <t>BLEKINGE LÄN</t>
        </is>
      </c>
      <c r="E1156" t="inlineStr">
        <is>
          <t>KARLSKRONA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2487-2024</t>
        </is>
      </c>
      <c r="B1157" s="1" t="n">
        <v>45313</v>
      </c>
      <c r="C1157" s="1" t="n">
        <v>45837</v>
      </c>
      <c r="D1157" t="inlineStr">
        <is>
          <t>BLEKINGE LÄN</t>
        </is>
      </c>
      <c r="E1157" t="inlineStr">
        <is>
          <t>KARLSKRONA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2491-2024</t>
        </is>
      </c>
      <c r="B1158" s="1" t="n">
        <v>45313</v>
      </c>
      <c r="C1158" s="1" t="n">
        <v>45837</v>
      </c>
      <c r="D1158" t="inlineStr">
        <is>
          <t>BLEKINGE LÄN</t>
        </is>
      </c>
      <c r="E1158" t="inlineStr">
        <is>
          <t>KARLSKRONA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2824-2024</t>
        </is>
      </c>
      <c r="B1159" s="1" t="n">
        <v>45314</v>
      </c>
      <c r="C1159" s="1" t="n">
        <v>45837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2828-2024</t>
        </is>
      </c>
      <c r="B1160" s="1" t="n">
        <v>45314</v>
      </c>
      <c r="C1160" s="1" t="n">
        <v>45837</v>
      </c>
      <c r="D1160" t="inlineStr">
        <is>
          <t>BLEKINGE LÄN</t>
        </is>
      </c>
      <c r="E1160" t="inlineStr">
        <is>
          <t>KARLSKRONA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2826-2024</t>
        </is>
      </c>
      <c r="B1161" s="1" t="n">
        <v>45314</v>
      </c>
      <c r="C1161" s="1" t="n">
        <v>45837</v>
      </c>
      <c r="D1161" t="inlineStr">
        <is>
          <t>BLEKINGE LÄN</t>
        </is>
      </c>
      <c r="E1161" t="inlineStr">
        <is>
          <t>KARLSKRONA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3012-2024</t>
        </is>
      </c>
      <c r="B1162" s="1" t="n">
        <v>45315</v>
      </c>
      <c r="C1162" s="1" t="n">
        <v>45837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3005-2024</t>
        </is>
      </c>
      <c r="B1163" s="1" t="n">
        <v>45315</v>
      </c>
      <c r="C1163" s="1" t="n">
        <v>45837</v>
      </c>
      <c r="D1163" t="inlineStr">
        <is>
          <t>BLEKINGE LÄN</t>
        </is>
      </c>
      <c r="E1163" t="inlineStr">
        <is>
          <t>KARLSKRONA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3013-2024</t>
        </is>
      </c>
      <c r="B1164" s="1" t="n">
        <v>45315</v>
      </c>
      <c r="C1164" s="1" t="n">
        <v>45837</v>
      </c>
      <c r="D1164" t="inlineStr">
        <is>
          <t>BLEKINGE LÄN</t>
        </is>
      </c>
      <c r="E1164" t="inlineStr">
        <is>
          <t>KARLSKRONA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2999-2024</t>
        </is>
      </c>
      <c r="B1165" s="1" t="n">
        <v>45315</v>
      </c>
      <c r="C1165" s="1" t="n">
        <v>45837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3011-2024</t>
        </is>
      </c>
      <c r="B1166" s="1" t="n">
        <v>45315</v>
      </c>
      <c r="C1166" s="1" t="n">
        <v>45837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3315-2024</t>
        </is>
      </c>
      <c r="B1167" s="1" t="n">
        <v>45316</v>
      </c>
      <c r="C1167" s="1" t="n">
        <v>45837</v>
      </c>
      <c r="D1167" t="inlineStr">
        <is>
          <t>BLEKINGE LÄN</t>
        </is>
      </c>
      <c r="E1167" t="inlineStr">
        <is>
          <t>KARLSKRONA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3321-2024</t>
        </is>
      </c>
      <c r="B1168" s="1" t="n">
        <v>45316</v>
      </c>
      <c r="C1168" s="1" t="n">
        <v>45837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3807-2024</t>
        </is>
      </c>
      <c r="B1169" s="1" t="n">
        <v>45321</v>
      </c>
      <c r="C1169" s="1" t="n">
        <v>45837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4156-2024</t>
        </is>
      </c>
      <c r="B1170" s="1" t="n">
        <v>45323</v>
      </c>
      <c r="C1170" s="1" t="n">
        <v>45837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4157-2024</t>
        </is>
      </c>
      <c r="B1171" s="1" t="n">
        <v>45323</v>
      </c>
      <c r="C1171" s="1" t="n">
        <v>45837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4161-2024</t>
        </is>
      </c>
      <c r="B1172" s="1" t="n">
        <v>45323</v>
      </c>
      <c r="C1172" s="1" t="n">
        <v>45837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4205-2024</t>
        </is>
      </c>
      <c r="B1173" s="1" t="n">
        <v>45324</v>
      </c>
      <c r="C1173" s="1" t="n">
        <v>45837</v>
      </c>
      <c r="D1173" t="inlineStr">
        <is>
          <t>BLEKINGE LÄN</t>
        </is>
      </c>
      <c r="E1173" t="inlineStr">
        <is>
          <t>KARLSKRONA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4266-2024</t>
        </is>
      </c>
      <c r="B1174" s="1" t="n">
        <v>45324</v>
      </c>
      <c r="C1174" s="1" t="n">
        <v>45837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4286-2024</t>
        </is>
      </c>
      <c r="B1175" s="1" t="n">
        <v>45324</v>
      </c>
      <c r="C1175" s="1" t="n">
        <v>45837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4269-2024</t>
        </is>
      </c>
      <c r="B1176" s="1" t="n">
        <v>45324</v>
      </c>
      <c r="C1176" s="1" t="n">
        <v>45837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4455-2024</t>
        </is>
      </c>
      <c r="B1177" s="1" t="n">
        <v>45327</v>
      </c>
      <c r="C1177" s="1" t="n">
        <v>45837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4426-2024</t>
        </is>
      </c>
      <c r="B1178" s="1" t="n">
        <v>45327</v>
      </c>
      <c r="C1178" s="1" t="n">
        <v>45837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4698-2024</t>
        </is>
      </c>
      <c r="B1179" s="1" t="n">
        <v>45328</v>
      </c>
      <c r="C1179" s="1" t="n">
        <v>45837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4700-2024</t>
        </is>
      </c>
      <c r="B1180" s="1" t="n">
        <v>45328</v>
      </c>
      <c r="C1180" s="1" t="n">
        <v>45837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4800-2024</t>
        </is>
      </c>
      <c r="B1181" s="1" t="n">
        <v>45328</v>
      </c>
      <c r="C1181" s="1" t="n">
        <v>45837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5088-2024</t>
        </is>
      </c>
      <c r="B1182" s="1" t="n">
        <v>45329</v>
      </c>
      <c r="C1182" s="1" t="n">
        <v>45837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5139-2024</t>
        </is>
      </c>
      <c r="B1183" s="1" t="n">
        <v>45330</v>
      </c>
      <c r="C1183" s="1" t="n">
        <v>45837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5138-2024</t>
        </is>
      </c>
      <c r="B1184" s="1" t="n">
        <v>45330</v>
      </c>
      <c r="C1184" s="1" t="n">
        <v>45837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5498-2024</t>
        </is>
      </c>
      <c r="B1185" s="1" t="n">
        <v>45331</v>
      </c>
      <c r="C1185" s="1" t="n">
        <v>45837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5464-2024</t>
        </is>
      </c>
      <c r="B1186" s="1" t="n">
        <v>45332</v>
      </c>
      <c r="C1186" s="1" t="n">
        <v>45837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5526-2024</t>
        </is>
      </c>
      <c r="B1187" s="1" t="n">
        <v>45332</v>
      </c>
      <c r="C1187" s="1" t="n">
        <v>45837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5557-2024</t>
        </is>
      </c>
      <c r="B1188" s="1" t="n">
        <v>45334</v>
      </c>
      <c r="C1188" s="1" t="n">
        <v>45837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5567-2024</t>
        </is>
      </c>
      <c r="B1189" s="1" t="n">
        <v>45334</v>
      </c>
      <c r="C1189" s="1" t="n">
        <v>45837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5556-2024</t>
        </is>
      </c>
      <c r="B1190" s="1" t="n">
        <v>45334</v>
      </c>
      <c r="C1190" s="1" t="n">
        <v>45837</v>
      </c>
      <c r="D1190" t="inlineStr">
        <is>
          <t>BLEKINGE LÄN</t>
        </is>
      </c>
      <c r="E1190" t="inlineStr">
        <is>
          <t>KARLSKRONA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5651-2024</t>
        </is>
      </c>
      <c r="B1191" s="1" t="n">
        <v>45334</v>
      </c>
      <c r="C1191" s="1" t="n">
        <v>45837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5716-2024</t>
        </is>
      </c>
      <c r="B1192" s="1" t="n">
        <v>45334</v>
      </c>
      <c r="C1192" s="1" t="n">
        <v>45837</v>
      </c>
      <c r="D1192" t="inlineStr">
        <is>
          <t>BLEKINGE LÄN</t>
        </is>
      </c>
      <c r="E1192" t="inlineStr">
        <is>
          <t>KARLSKRONA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5717-2024</t>
        </is>
      </c>
      <c r="B1193" s="1" t="n">
        <v>45334</v>
      </c>
      <c r="C1193" s="1" t="n">
        <v>45837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5649-2024</t>
        </is>
      </c>
      <c r="B1194" s="1" t="n">
        <v>45334</v>
      </c>
      <c r="C1194" s="1" t="n">
        <v>45837</v>
      </c>
      <c r="D1194" t="inlineStr">
        <is>
          <t>BLEKINGE LÄN</t>
        </is>
      </c>
      <c r="E1194" t="inlineStr">
        <is>
          <t>KARLSKRONA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5962-2024</t>
        </is>
      </c>
      <c r="B1195" s="1" t="n">
        <v>45335</v>
      </c>
      <c r="C1195" s="1" t="n">
        <v>45837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5964-2024</t>
        </is>
      </c>
      <c r="B1196" s="1" t="n">
        <v>45335</v>
      </c>
      <c r="C1196" s="1" t="n">
        <v>45837</v>
      </c>
      <c r="D1196" t="inlineStr">
        <is>
          <t>BLEKINGE LÄN</t>
        </is>
      </c>
      <c r="E1196" t="inlineStr">
        <is>
          <t>KARLSKRONA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45837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5979-2024</t>
        </is>
      </c>
      <c r="B1198" s="1" t="n">
        <v>45336</v>
      </c>
      <c r="C1198" s="1" t="n">
        <v>45837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6011-2024</t>
        </is>
      </c>
      <c r="B1199" s="1" t="n">
        <v>45336</v>
      </c>
      <c r="C1199" s="1" t="n">
        <v>45837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6046-2024</t>
        </is>
      </c>
      <c r="B1200" s="1" t="n">
        <v>45336</v>
      </c>
      <c r="C1200" s="1" t="n">
        <v>45837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6525-2024</t>
        </is>
      </c>
      <c r="B1201" s="1" t="n">
        <v>45339</v>
      </c>
      <c r="C1201" s="1" t="n">
        <v>45837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6524-2024</t>
        </is>
      </c>
      <c r="B1202" s="1" t="n">
        <v>45339</v>
      </c>
      <c r="C1202" s="1" t="n">
        <v>45837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6509-2024</t>
        </is>
      </c>
      <c r="B1203" s="1" t="n">
        <v>45340</v>
      </c>
      <c r="C1203" s="1" t="n">
        <v>45837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6852-2024</t>
        </is>
      </c>
      <c r="B1204" s="1" t="n">
        <v>45342</v>
      </c>
      <c r="C1204" s="1" t="n">
        <v>45837</v>
      </c>
      <c r="D1204" t="inlineStr">
        <is>
          <t>BLEKINGE LÄN</t>
        </is>
      </c>
      <c r="E1204" t="inlineStr">
        <is>
          <t>KARLSKRONA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6861-2024</t>
        </is>
      </c>
      <c r="B1205" s="1" t="n">
        <v>45342</v>
      </c>
      <c r="C1205" s="1" t="n">
        <v>45837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6855-2024</t>
        </is>
      </c>
      <c r="B1206" s="1" t="n">
        <v>45342</v>
      </c>
      <c r="C1206" s="1" t="n">
        <v>45837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6888-2024</t>
        </is>
      </c>
      <c r="B1207" s="1" t="n">
        <v>45342</v>
      </c>
      <c r="C1207" s="1" t="n">
        <v>45837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6887-2024</t>
        </is>
      </c>
      <c r="B1208" s="1" t="n">
        <v>45342</v>
      </c>
      <c r="C1208" s="1" t="n">
        <v>45837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6992-2024</t>
        </is>
      </c>
      <c r="B1209" s="1" t="n">
        <v>45343</v>
      </c>
      <c r="C1209" s="1" t="n">
        <v>45837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7014-2024</t>
        </is>
      </c>
      <c r="B1210" s="1" t="n">
        <v>45343</v>
      </c>
      <c r="C1210" s="1" t="n">
        <v>45837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6967-2024</t>
        </is>
      </c>
      <c r="B1211" s="1" t="n">
        <v>45343</v>
      </c>
      <c r="C1211" s="1" t="n">
        <v>45837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6965-2024</t>
        </is>
      </c>
      <c r="B1212" s="1" t="n">
        <v>45343</v>
      </c>
      <c r="C1212" s="1" t="n">
        <v>45837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7117-2024</t>
        </is>
      </c>
      <c r="B1213" s="1" t="n">
        <v>45344</v>
      </c>
      <c r="C1213" s="1" t="n">
        <v>45837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7129-2024</t>
        </is>
      </c>
      <c r="B1214" s="1" t="n">
        <v>45344</v>
      </c>
      <c r="C1214" s="1" t="n">
        <v>45837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7119-2024</t>
        </is>
      </c>
      <c r="B1215" s="1" t="n">
        <v>45344</v>
      </c>
      <c r="C1215" s="1" t="n">
        <v>45837</v>
      </c>
      <c r="D1215" t="inlineStr">
        <is>
          <t>BLEKINGE LÄN</t>
        </is>
      </c>
      <c r="E1215" t="inlineStr">
        <is>
          <t>KARLSKRONA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7252-2024</t>
        </is>
      </c>
      <c r="B1216" s="1" t="n">
        <v>45344</v>
      </c>
      <c r="C1216" s="1" t="n">
        <v>45837</v>
      </c>
      <c r="D1216" t="inlineStr">
        <is>
          <t>BLEKINGE LÄN</t>
        </is>
      </c>
      <c r="E1216" t="inlineStr">
        <is>
          <t>KARLSKRONA</t>
        </is>
      </c>
      <c r="F1216" t="inlineStr">
        <is>
          <t>Kommuner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7566-2024</t>
        </is>
      </c>
      <c r="B1217" s="1" t="n">
        <v>45346</v>
      </c>
      <c r="C1217" s="1" t="n">
        <v>45837</v>
      </c>
      <c r="D1217" t="inlineStr">
        <is>
          <t>BLEKINGE LÄN</t>
        </is>
      </c>
      <c r="E1217" t="inlineStr">
        <is>
          <t>KARLSKRONA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7524-2024</t>
        </is>
      </c>
      <c r="B1218" s="1" t="n">
        <v>45348</v>
      </c>
      <c r="C1218" s="1" t="n">
        <v>45837</v>
      </c>
      <c r="D1218" t="inlineStr">
        <is>
          <t>BLEKINGE LÄN</t>
        </is>
      </c>
      <c r="E1218" t="inlineStr">
        <is>
          <t>KARLSKRONA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7595-2024</t>
        </is>
      </c>
      <c r="B1219" s="1" t="n">
        <v>45348</v>
      </c>
      <c r="C1219" s="1" t="n">
        <v>45837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7594-2024</t>
        </is>
      </c>
      <c r="B1220" s="1" t="n">
        <v>45348</v>
      </c>
      <c r="C1220" s="1" t="n">
        <v>45837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7596-2024</t>
        </is>
      </c>
      <c r="B1221" s="1" t="n">
        <v>45348</v>
      </c>
      <c r="C1221" s="1" t="n">
        <v>45837</v>
      </c>
      <c r="D1221" t="inlineStr">
        <is>
          <t>BLEKINGE LÄN</t>
        </is>
      </c>
      <c r="E1221" t="inlineStr">
        <is>
          <t>KARLSKRONA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7600-2024</t>
        </is>
      </c>
      <c r="B1222" s="1" t="n">
        <v>45348</v>
      </c>
      <c r="C1222" s="1" t="n">
        <v>45837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7748-2024</t>
        </is>
      </c>
      <c r="B1223" s="1" t="n">
        <v>45349</v>
      </c>
      <c r="C1223" s="1" t="n">
        <v>45837</v>
      </c>
      <c r="D1223" t="inlineStr">
        <is>
          <t>BLEKINGE LÄN</t>
        </is>
      </c>
      <c r="E1223" t="inlineStr">
        <is>
          <t>KARLSKRONA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7889-2024</t>
        </is>
      </c>
      <c r="B1224" s="1" t="n">
        <v>45350</v>
      </c>
      <c r="C1224" s="1" t="n">
        <v>45837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8011-2024</t>
        </is>
      </c>
      <c r="B1225" s="1" t="n">
        <v>45350</v>
      </c>
      <c r="C1225" s="1" t="n">
        <v>45837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8117-2024</t>
        </is>
      </c>
      <c r="B1226" s="1" t="n">
        <v>45351</v>
      </c>
      <c r="C1226" s="1" t="n">
        <v>45837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8197-2024</t>
        </is>
      </c>
      <c r="B1227" s="1" t="n">
        <v>45351</v>
      </c>
      <c r="C1227" s="1" t="n">
        <v>45837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9083-2024</t>
        </is>
      </c>
      <c r="B1228" s="1" t="n">
        <v>45357</v>
      </c>
      <c r="C1228" s="1" t="n">
        <v>45837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9082-2024</t>
        </is>
      </c>
      <c r="B1229" s="1" t="n">
        <v>45357</v>
      </c>
      <c r="C1229" s="1" t="n">
        <v>45837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9081-2024</t>
        </is>
      </c>
      <c r="B1230" s="1" t="n">
        <v>45357</v>
      </c>
      <c r="C1230" s="1" t="n">
        <v>45837</v>
      </c>
      <c r="D1230" t="inlineStr">
        <is>
          <t>BLEKINGE LÄN</t>
        </is>
      </c>
      <c r="E1230" t="inlineStr">
        <is>
          <t>KARLSKRONA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9283-2024</t>
        </is>
      </c>
      <c r="B1231" s="1" t="n">
        <v>45358</v>
      </c>
      <c r="C1231" s="1" t="n">
        <v>45837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9281-2024</t>
        </is>
      </c>
      <c r="B1232" s="1" t="n">
        <v>45358</v>
      </c>
      <c r="C1232" s="1" t="n">
        <v>45837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9457-2024</t>
        </is>
      </c>
      <c r="B1233" s="1" t="n">
        <v>45358</v>
      </c>
      <c r="C1233" s="1" t="n">
        <v>45837</v>
      </c>
      <c r="D1233" t="inlineStr">
        <is>
          <t>BLEKINGE LÄN</t>
        </is>
      </c>
      <c r="E1233" t="inlineStr">
        <is>
          <t>KARLSKRONA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9620-2024</t>
        </is>
      </c>
      <c r="B1234" s="1" t="n">
        <v>45361</v>
      </c>
      <c r="C1234" s="1" t="n">
        <v>45837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9745-2024</t>
        </is>
      </c>
      <c r="B1235" s="1" t="n">
        <v>45362</v>
      </c>
      <c r="C1235" s="1" t="n">
        <v>45837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</v>
      </c>
      <c r="C1236" s="1" t="n">
        <v>45837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10576-2024</t>
        </is>
      </c>
      <c r="B1237" s="1" t="n">
        <v>45366</v>
      </c>
      <c r="C1237" s="1" t="n">
        <v>45837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10567-2024</t>
        </is>
      </c>
      <c r="B1238" s="1" t="n">
        <v>45366</v>
      </c>
      <c r="C1238" s="1" t="n">
        <v>45837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10603-2024</t>
        </is>
      </c>
      <c r="B1239" s="1" t="n">
        <v>45366</v>
      </c>
      <c r="C1239" s="1" t="n">
        <v>45837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10760-2024</t>
        </is>
      </c>
      <c r="B1240" s="1" t="n">
        <v>45369</v>
      </c>
      <c r="C1240" s="1" t="n">
        <v>45837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10658-2024</t>
        </is>
      </c>
      <c r="B1241" s="1" t="n">
        <v>45369</v>
      </c>
      <c r="C1241" s="1" t="n">
        <v>45837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11038-2024</t>
        </is>
      </c>
      <c r="B1242" s="1" t="n">
        <v>45370</v>
      </c>
      <c r="C1242" s="1" t="n">
        <v>45837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11042-2024</t>
        </is>
      </c>
      <c r="B1243" s="1" t="n">
        <v>45370</v>
      </c>
      <c r="C1243" s="1" t="n">
        <v>45837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11033-2024</t>
        </is>
      </c>
      <c r="B1244" s="1" t="n">
        <v>45370</v>
      </c>
      <c r="C1244" s="1" t="n">
        <v>45837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11041-2024</t>
        </is>
      </c>
      <c r="B1245" s="1" t="n">
        <v>45370</v>
      </c>
      <c r="C1245" s="1" t="n">
        <v>45837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11024-2024</t>
        </is>
      </c>
      <c r="B1246" s="1" t="n">
        <v>45370</v>
      </c>
      <c r="C1246" s="1" t="n">
        <v>45837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11028-2024</t>
        </is>
      </c>
      <c r="B1247" s="1" t="n">
        <v>45370</v>
      </c>
      <c r="C1247" s="1" t="n">
        <v>45837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11411-2024</t>
        </is>
      </c>
      <c r="B1248" s="1" t="n">
        <v>45372</v>
      </c>
      <c r="C1248" s="1" t="n">
        <v>45837</v>
      </c>
      <c r="D1248" t="inlineStr">
        <is>
          <t>BLEKINGE LÄN</t>
        </is>
      </c>
      <c r="E1248" t="inlineStr">
        <is>
          <t>KARLSKRONA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11530-2024</t>
        </is>
      </c>
      <c r="B1249" s="1" t="n">
        <v>45372</v>
      </c>
      <c r="C1249" s="1" t="n">
        <v>45837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11644-2024</t>
        </is>
      </c>
      <c r="B1250" s="1" t="n">
        <v>45373</v>
      </c>
      <c r="C1250" s="1" t="n">
        <v>45837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12171-2024</t>
        </is>
      </c>
      <c r="B1251" s="1" t="n">
        <v>45377</v>
      </c>
      <c r="C1251" s="1" t="n">
        <v>45837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12848-2024</t>
        </is>
      </c>
      <c r="B1252" s="1" t="n">
        <v>45384</v>
      </c>
      <c r="C1252" s="1" t="n">
        <v>45837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12827-2024</t>
        </is>
      </c>
      <c r="B1253" s="1" t="n">
        <v>45384</v>
      </c>
      <c r="C1253" s="1" t="n">
        <v>45837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12831-2024</t>
        </is>
      </c>
      <c r="B1254" s="1" t="n">
        <v>45384</v>
      </c>
      <c r="C1254" s="1" t="n">
        <v>45837</v>
      </c>
      <c r="D1254" t="inlineStr">
        <is>
          <t>BLEKINGE LÄN</t>
        </is>
      </c>
      <c r="E1254" t="inlineStr">
        <is>
          <t>KARLSKRONA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13380-2024</t>
        </is>
      </c>
      <c r="B1255" s="1" t="n">
        <v>45387</v>
      </c>
      <c r="C1255" s="1" t="n">
        <v>45837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13465-2024</t>
        </is>
      </c>
      <c r="B1256" s="1" t="n">
        <v>45387</v>
      </c>
      <c r="C1256" s="1" t="n">
        <v>45837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13469-2024</t>
        </is>
      </c>
      <c r="B1257" s="1" t="n">
        <v>45387</v>
      </c>
      <c r="C1257" s="1" t="n">
        <v>45837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13536-2024</t>
        </is>
      </c>
      <c r="B1258" s="1" t="n">
        <v>45387</v>
      </c>
      <c r="C1258" s="1" t="n">
        <v>45837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13533-2024</t>
        </is>
      </c>
      <c r="B1259" s="1" t="n">
        <v>45387</v>
      </c>
      <c r="C1259" s="1" t="n">
        <v>45837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13375-2024</t>
        </is>
      </c>
      <c r="B1260" s="1" t="n">
        <v>45387</v>
      </c>
      <c r="C1260" s="1" t="n">
        <v>45837</v>
      </c>
      <c r="D1260" t="inlineStr">
        <is>
          <t>BLEKINGE LÄN</t>
        </is>
      </c>
      <c r="E1260" t="inlineStr">
        <is>
          <t>KARLSKRONA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13363-2024</t>
        </is>
      </c>
      <c r="B1261" s="1" t="n">
        <v>45387</v>
      </c>
      <c r="C1261" s="1" t="n">
        <v>45837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13535-2024</t>
        </is>
      </c>
      <c r="B1262" s="1" t="n">
        <v>45387</v>
      </c>
      <c r="C1262" s="1" t="n">
        <v>45837</v>
      </c>
      <c r="D1262" t="inlineStr">
        <is>
          <t>BLEKINGE LÄN</t>
        </is>
      </c>
      <c r="E1262" t="inlineStr">
        <is>
          <t>KARLSKRONA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13377-2024</t>
        </is>
      </c>
      <c r="B1263" s="1" t="n">
        <v>45387</v>
      </c>
      <c r="C1263" s="1" t="n">
        <v>45837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13588-2024</t>
        </is>
      </c>
      <c r="B1264" s="1" t="n">
        <v>45389</v>
      </c>
      <c r="C1264" s="1" t="n">
        <v>45837</v>
      </c>
      <c r="D1264" t="inlineStr">
        <is>
          <t>BLEKINGE LÄN</t>
        </is>
      </c>
      <c r="E1264" t="inlineStr">
        <is>
          <t>KARLSKRONA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13870-2024</t>
        </is>
      </c>
      <c r="B1265" s="1" t="n">
        <v>45391</v>
      </c>
      <c r="C1265" s="1" t="n">
        <v>45837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14177-2024</t>
        </is>
      </c>
      <c r="B1266" s="1" t="n">
        <v>45393</v>
      </c>
      <c r="C1266" s="1" t="n">
        <v>45837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14218-2024</t>
        </is>
      </c>
      <c r="B1267" s="1" t="n">
        <v>45393</v>
      </c>
      <c r="C1267" s="1" t="n">
        <v>45837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14256-2024</t>
        </is>
      </c>
      <c r="B1268" s="1" t="n">
        <v>45393</v>
      </c>
      <c r="C1268" s="1" t="n">
        <v>45837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14308-2024</t>
        </is>
      </c>
      <c r="B1269" s="1" t="n">
        <v>45393</v>
      </c>
      <c r="C1269" s="1" t="n">
        <v>45837</v>
      </c>
      <c r="D1269" t="inlineStr">
        <is>
          <t>BLEKINGE LÄN</t>
        </is>
      </c>
      <c r="E1269" t="inlineStr">
        <is>
          <t>KARLSKRONA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14362-2024</t>
        </is>
      </c>
      <c r="B1270" s="1" t="n">
        <v>45394</v>
      </c>
      <c r="C1270" s="1" t="n">
        <v>45837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14176-2024</t>
        </is>
      </c>
      <c r="B1271" s="1" t="n">
        <v>45393</v>
      </c>
      <c r="C1271" s="1" t="n">
        <v>45837</v>
      </c>
      <c r="D1271" t="inlineStr">
        <is>
          <t>BLEKINGE LÄN</t>
        </is>
      </c>
      <c r="E1271" t="inlineStr">
        <is>
          <t>KARLSKRONA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14192-2024</t>
        </is>
      </c>
      <c r="B1272" s="1" t="n">
        <v>45393</v>
      </c>
      <c r="C1272" s="1" t="n">
        <v>45837</v>
      </c>
      <c r="D1272" t="inlineStr">
        <is>
          <t>BLEKINGE LÄN</t>
        </is>
      </c>
      <c r="E1272" t="inlineStr">
        <is>
          <t>KARLSKRONA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14254-2024</t>
        </is>
      </c>
      <c r="B1273" s="1" t="n">
        <v>45393</v>
      </c>
      <c r="C1273" s="1" t="n">
        <v>45837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</v>
      </c>
      <c r="C1274" s="1" t="n">
        <v>45837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14359-2024</t>
        </is>
      </c>
      <c r="B1275" s="1" t="n">
        <v>45393</v>
      </c>
      <c r="C1275" s="1" t="n">
        <v>45837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14496-2024</t>
        </is>
      </c>
      <c r="B1276" s="1" t="n">
        <v>45394</v>
      </c>
      <c r="C1276" s="1" t="n">
        <v>45837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15360-2024</t>
        </is>
      </c>
      <c r="B1277" s="1" t="n">
        <v>45400</v>
      </c>
      <c r="C1277" s="1" t="n">
        <v>45837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16198-2024</t>
        </is>
      </c>
      <c r="B1278" s="1" t="n">
        <v>45406</v>
      </c>
      <c r="C1278" s="1" t="n">
        <v>45837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16200-2024</t>
        </is>
      </c>
      <c r="B1279" s="1" t="n">
        <v>45406</v>
      </c>
      <c r="C1279" s="1" t="n">
        <v>45837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16387-2024</t>
        </is>
      </c>
      <c r="B1280" s="1" t="n">
        <v>45407</v>
      </c>
      <c r="C1280" s="1" t="n">
        <v>45837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16380-2024</t>
        </is>
      </c>
      <c r="B1281" s="1" t="n">
        <v>45407</v>
      </c>
      <c r="C1281" s="1" t="n">
        <v>45837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16686-2024</t>
        </is>
      </c>
      <c r="B1282" s="1" t="n">
        <v>45408</v>
      </c>
      <c r="C1282" s="1" t="n">
        <v>45837</v>
      </c>
      <c r="D1282" t="inlineStr">
        <is>
          <t>BLEKINGE LÄN</t>
        </is>
      </c>
      <c r="E1282" t="inlineStr">
        <is>
          <t>KARLSKRONA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16835-2024</t>
        </is>
      </c>
      <c r="B1283" s="1" t="n">
        <v>45409</v>
      </c>
      <c r="C1283" s="1" t="n">
        <v>45837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16779-2024</t>
        </is>
      </c>
      <c r="B1284" s="1" t="n">
        <v>45411</v>
      </c>
      <c r="C1284" s="1" t="n">
        <v>45837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16783-2024</t>
        </is>
      </c>
      <c r="B1285" s="1" t="n">
        <v>45411</v>
      </c>
      <c r="C1285" s="1" t="n">
        <v>45837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16773-2024</t>
        </is>
      </c>
      <c r="B1286" s="1" t="n">
        <v>45411</v>
      </c>
      <c r="C1286" s="1" t="n">
        <v>45837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17268-2024</t>
        </is>
      </c>
      <c r="B1287" s="1" t="n">
        <v>45414</v>
      </c>
      <c r="C1287" s="1" t="n">
        <v>45837</v>
      </c>
      <c r="D1287" t="inlineStr">
        <is>
          <t>BLEKINGE LÄN</t>
        </is>
      </c>
      <c r="E1287" t="inlineStr">
        <is>
          <t>KARLSKRONA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17552-2024</t>
        </is>
      </c>
      <c r="B1288" s="1" t="n">
        <v>45415</v>
      </c>
      <c r="C1288" s="1" t="n">
        <v>45837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18117-2024</t>
        </is>
      </c>
      <c r="B1289" s="1" t="n">
        <v>45420</v>
      </c>
      <c r="C1289" s="1" t="n">
        <v>45837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18524-2024</t>
        </is>
      </c>
      <c r="B1290" s="1" t="n">
        <v>45425</v>
      </c>
      <c r="C1290" s="1" t="n">
        <v>45837</v>
      </c>
      <c r="D1290" t="inlineStr">
        <is>
          <t>BLEKINGE LÄN</t>
        </is>
      </c>
      <c r="E1290" t="inlineStr">
        <is>
          <t>KARLSKRONA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18738-2024</t>
        </is>
      </c>
      <c r="B1291" s="1" t="n">
        <v>45426</v>
      </c>
      <c r="C1291" s="1" t="n">
        <v>45837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19244-2024</t>
        </is>
      </c>
      <c r="B1292" s="1" t="n">
        <v>45428</v>
      </c>
      <c r="C1292" s="1" t="n">
        <v>45837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19713-2024</t>
        </is>
      </c>
      <c r="B1293" s="1" t="n">
        <v>45432</v>
      </c>
      <c r="C1293" s="1" t="n">
        <v>45837</v>
      </c>
      <c r="D1293" t="inlineStr">
        <is>
          <t>BLEKINGE LÄN</t>
        </is>
      </c>
      <c r="E1293" t="inlineStr">
        <is>
          <t>KARLSKRONA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21045-2024</t>
        </is>
      </c>
      <c r="B1294" s="1" t="n">
        <v>45439</v>
      </c>
      <c r="C1294" s="1" t="n">
        <v>45837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20940-2024</t>
        </is>
      </c>
      <c r="B1295" s="1" t="n">
        <v>45439</v>
      </c>
      <c r="C1295" s="1" t="n">
        <v>45837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21880-2024</t>
        </is>
      </c>
      <c r="B1296" s="1" t="n">
        <v>45443</v>
      </c>
      <c r="C1296" s="1" t="n">
        <v>45837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22096-2024</t>
        </is>
      </c>
      <c r="B1297" s="1" t="n">
        <v>45443</v>
      </c>
      <c r="C1297" s="1" t="n">
        <v>45837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22490-2024</t>
        </is>
      </c>
      <c r="B1298" s="1" t="n">
        <v>45446</v>
      </c>
      <c r="C1298" s="1" t="n">
        <v>45837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23271-2024</t>
        </is>
      </c>
      <c r="B1299" s="1" t="n">
        <v>45453</v>
      </c>
      <c r="C1299" s="1" t="n">
        <v>45837</v>
      </c>
      <c r="D1299" t="inlineStr">
        <is>
          <t>BLEKINGE LÄN</t>
        </is>
      </c>
      <c r="E1299" t="inlineStr">
        <is>
          <t>KARLSKRONA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23309-2024</t>
        </is>
      </c>
      <c r="B1300" s="1" t="n">
        <v>45453</v>
      </c>
      <c r="C1300" s="1" t="n">
        <v>45837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23464-2024</t>
        </is>
      </c>
      <c r="B1301" s="1" t="n">
        <v>45453</v>
      </c>
      <c r="C1301" s="1" t="n">
        <v>45837</v>
      </c>
      <c r="D1301" t="inlineStr">
        <is>
          <t>BLEKINGE LÄN</t>
        </is>
      </c>
      <c r="E1301" t="inlineStr">
        <is>
          <t>KARLSKRONA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23707-2024</t>
        </is>
      </c>
      <c r="B1302" s="1" t="n">
        <v>45454</v>
      </c>
      <c r="C1302" s="1" t="n">
        <v>45837</v>
      </c>
      <c r="D1302" t="inlineStr">
        <is>
          <t>BLEKINGE LÄN</t>
        </is>
      </c>
      <c r="E1302" t="inlineStr">
        <is>
          <t>KARLSKRONA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23819-2024</t>
        </is>
      </c>
      <c r="B1303" s="1" t="n">
        <v>45455</v>
      </c>
      <c r="C1303" s="1" t="n">
        <v>45837</v>
      </c>
      <c r="D1303" t="inlineStr">
        <is>
          <t>BLEKINGE LÄN</t>
        </is>
      </c>
      <c r="E1303" t="inlineStr">
        <is>
          <t>KARLSKRONA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24157-2024</t>
        </is>
      </c>
      <c r="B1304" s="1" t="n">
        <v>45456</v>
      </c>
      <c r="C1304" s="1" t="n">
        <v>45837</v>
      </c>
      <c r="D1304" t="inlineStr">
        <is>
          <t>BLEKINGE LÄN</t>
        </is>
      </c>
      <c r="E1304" t="inlineStr">
        <is>
          <t>KARLSKRONA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24155-2024</t>
        </is>
      </c>
      <c r="B1305" s="1" t="n">
        <v>45456</v>
      </c>
      <c r="C1305" s="1" t="n">
        <v>45837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24226-2024</t>
        </is>
      </c>
      <c r="B1306" s="1" t="n">
        <v>45457</v>
      </c>
      <c r="C1306" s="1" t="n">
        <v>45837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24474-2024</t>
        </is>
      </c>
      <c r="B1307" s="1" t="n">
        <v>45458</v>
      </c>
      <c r="C1307" s="1" t="n">
        <v>45837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24761-2024</t>
        </is>
      </c>
      <c r="B1308" s="1" t="n">
        <v>45460</v>
      </c>
      <c r="C1308" s="1" t="n">
        <v>45837</v>
      </c>
      <c r="D1308" t="inlineStr">
        <is>
          <t>BLEKINGE LÄN</t>
        </is>
      </c>
      <c r="E1308" t="inlineStr">
        <is>
          <t>KARLSKRONA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24773-2024</t>
        </is>
      </c>
      <c r="B1309" s="1" t="n">
        <v>45460</v>
      </c>
      <c r="C1309" s="1" t="n">
        <v>45837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24652-2024</t>
        </is>
      </c>
      <c r="B1310" s="1" t="n">
        <v>45460</v>
      </c>
      <c r="C1310" s="1" t="n">
        <v>45837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25282-2024</t>
        </is>
      </c>
      <c r="B1311" s="1" t="n">
        <v>45462</v>
      </c>
      <c r="C1311" s="1" t="n">
        <v>45837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25455-2024</t>
        </is>
      </c>
      <c r="B1312" s="1" t="n">
        <v>45463</v>
      </c>
      <c r="C1312" s="1" t="n">
        <v>45837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25458-2024</t>
        </is>
      </c>
      <c r="B1313" s="1" t="n">
        <v>45463</v>
      </c>
      <c r="C1313" s="1" t="n">
        <v>45837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26098-2024</t>
        </is>
      </c>
      <c r="B1314" s="1" t="n">
        <v>45468</v>
      </c>
      <c r="C1314" s="1" t="n">
        <v>45837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26100-2024</t>
        </is>
      </c>
      <c r="B1315" s="1" t="n">
        <v>45468</v>
      </c>
      <c r="C1315" s="1" t="n">
        <v>45837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26091-2024</t>
        </is>
      </c>
      <c r="B1316" s="1" t="n">
        <v>45468</v>
      </c>
      <c r="C1316" s="1" t="n">
        <v>45837</v>
      </c>
      <c r="D1316" t="inlineStr">
        <is>
          <t>BLEKINGE LÄN</t>
        </is>
      </c>
      <c r="E1316" t="inlineStr">
        <is>
          <t>KARLSKRONA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26356-2024</t>
        </is>
      </c>
      <c r="B1317" s="1" t="n">
        <v>45469</v>
      </c>
      <c r="C1317" s="1" t="n">
        <v>45837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27475-2024</t>
        </is>
      </c>
      <c r="B1318" s="1" t="n">
        <v>45474</v>
      </c>
      <c r="C1318" s="1" t="n">
        <v>45837</v>
      </c>
      <c r="D1318" t="inlineStr">
        <is>
          <t>BLEKINGE LÄN</t>
        </is>
      </c>
      <c r="E1318" t="inlineStr">
        <is>
          <t>KARLSKRONA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27763-2024</t>
        </is>
      </c>
      <c r="B1319" s="1" t="n">
        <v>45475</v>
      </c>
      <c r="C1319" s="1" t="n">
        <v>45837</v>
      </c>
      <c r="D1319" t="inlineStr">
        <is>
          <t>BLEKINGE LÄN</t>
        </is>
      </c>
      <c r="E1319" t="inlineStr">
        <is>
          <t>KARLSKRONA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27749-2024</t>
        </is>
      </c>
      <c r="B1320" s="1" t="n">
        <v>45475</v>
      </c>
      <c r="C1320" s="1" t="n">
        <v>45837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29370-2024</t>
        </is>
      </c>
      <c r="B1321" s="1" t="n">
        <v>45483</v>
      </c>
      <c r="C1321" s="1" t="n">
        <v>45837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29373-2024</t>
        </is>
      </c>
      <c r="B1322" s="1" t="n">
        <v>45483</v>
      </c>
      <c r="C1322" s="1" t="n">
        <v>45837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30663-2024</t>
        </is>
      </c>
      <c r="B1323" s="1" t="n">
        <v>45495</v>
      </c>
      <c r="C1323" s="1" t="n">
        <v>45837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30657-2024</t>
        </is>
      </c>
      <c r="B1324" s="1" t="n">
        <v>45495</v>
      </c>
      <c r="C1324" s="1" t="n">
        <v>45837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30658-2024</t>
        </is>
      </c>
      <c r="B1325" s="1" t="n">
        <v>45495</v>
      </c>
      <c r="C1325" s="1" t="n">
        <v>45837</v>
      </c>
      <c r="D1325" t="inlineStr">
        <is>
          <t>BLEKINGE LÄN</t>
        </is>
      </c>
      <c r="E1325" t="inlineStr">
        <is>
          <t>KARLSKRONA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30656-2024</t>
        </is>
      </c>
      <c r="B1326" s="1" t="n">
        <v>45495</v>
      </c>
      <c r="C1326" s="1" t="n">
        <v>45837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30660-2024</t>
        </is>
      </c>
      <c r="B1327" s="1" t="n">
        <v>45495</v>
      </c>
      <c r="C1327" s="1" t="n">
        <v>45837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30713-2024</t>
        </is>
      </c>
      <c r="B1328" s="1" t="n">
        <v>45496</v>
      </c>
      <c r="C1328" s="1" t="n">
        <v>45837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31009-2024</t>
        </is>
      </c>
      <c r="B1329" s="1" t="n">
        <v>45499</v>
      </c>
      <c r="C1329" s="1" t="n">
        <v>45837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31021-2024</t>
        </is>
      </c>
      <c r="B1330" s="1" t="n">
        <v>45499</v>
      </c>
      <c r="C1330" s="1" t="n">
        <v>45837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31010-2024</t>
        </is>
      </c>
      <c r="B1331" s="1" t="n">
        <v>45499</v>
      </c>
      <c r="C1331" s="1" t="n">
        <v>45837</v>
      </c>
      <c r="D1331" t="inlineStr">
        <is>
          <t>BLEKINGE LÄN</t>
        </is>
      </c>
      <c r="E1331" t="inlineStr">
        <is>
          <t>KARLSKRONA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31014-2024</t>
        </is>
      </c>
      <c r="B1332" s="1" t="n">
        <v>45499</v>
      </c>
      <c r="C1332" s="1" t="n">
        <v>45837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32362-2024</t>
        </is>
      </c>
      <c r="B1333" s="1" t="n">
        <v>45512</v>
      </c>
      <c r="C1333" s="1" t="n">
        <v>45837</v>
      </c>
      <c r="D1333" t="inlineStr">
        <is>
          <t>BLEKINGE LÄN</t>
        </is>
      </c>
      <c r="E1333" t="inlineStr">
        <is>
          <t>KARLSKRONA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32327-2024</t>
        </is>
      </c>
      <c r="B1334" s="1" t="n">
        <v>45512</v>
      </c>
      <c r="C1334" s="1" t="n">
        <v>45837</v>
      </c>
      <c r="D1334" t="inlineStr">
        <is>
          <t>BLEKINGE LÄN</t>
        </is>
      </c>
      <c r="E1334" t="inlineStr">
        <is>
          <t>KARLSKRONA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32496-2024</t>
        </is>
      </c>
      <c r="B1335" s="1" t="n">
        <v>45513</v>
      </c>
      <c r="C1335" s="1" t="n">
        <v>45837</v>
      </c>
      <c r="D1335" t="inlineStr">
        <is>
          <t>BLEKINGE LÄN</t>
        </is>
      </c>
      <c r="E1335" t="inlineStr">
        <is>
          <t>KARLSKRONA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32885-2024</t>
        </is>
      </c>
      <c r="B1336" s="1" t="n">
        <v>45516</v>
      </c>
      <c r="C1336" s="1" t="n">
        <v>45837</v>
      </c>
      <c r="D1336" t="inlineStr">
        <is>
          <t>BLEKINGE LÄN</t>
        </is>
      </c>
      <c r="E1336" t="inlineStr">
        <is>
          <t>KARLSKRONA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33788-2024</t>
        </is>
      </c>
      <c r="B1337" s="1" t="n">
        <v>45520</v>
      </c>
      <c r="C1337" s="1" t="n">
        <v>45837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33973-2024</t>
        </is>
      </c>
      <c r="B1338" s="1" t="n">
        <v>45523</v>
      </c>
      <c r="C1338" s="1" t="n">
        <v>45837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34183-2024</t>
        </is>
      </c>
      <c r="B1339" s="1" t="n">
        <v>45524</v>
      </c>
      <c r="C1339" s="1" t="n">
        <v>45837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34133-2024</t>
        </is>
      </c>
      <c r="B1340" s="1" t="n">
        <v>45524</v>
      </c>
      <c r="C1340" s="1" t="n">
        <v>45837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34137-2024</t>
        </is>
      </c>
      <c r="B1341" s="1" t="n">
        <v>45524</v>
      </c>
      <c r="C1341" s="1" t="n">
        <v>45837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34180-2024</t>
        </is>
      </c>
      <c r="B1342" s="1" t="n">
        <v>45524</v>
      </c>
      <c r="C1342" s="1" t="n">
        <v>45837</v>
      </c>
      <c r="D1342" t="inlineStr">
        <is>
          <t>BLEKINGE LÄN</t>
        </is>
      </c>
      <c r="E1342" t="inlineStr">
        <is>
          <t>KARLSKRONA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34134-2024</t>
        </is>
      </c>
      <c r="B1343" s="1" t="n">
        <v>45524</v>
      </c>
      <c r="C1343" s="1" t="n">
        <v>45837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34375-2024</t>
        </is>
      </c>
      <c r="B1344" s="1" t="n">
        <v>45525</v>
      </c>
      <c r="C1344" s="1" t="n">
        <v>45837</v>
      </c>
      <c r="D1344" t="inlineStr">
        <is>
          <t>BLEKINGE LÄN</t>
        </is>
      </c>
      <c r="E1344" t="inlineStr">
        <is>
          <t>KARLSKRONA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34813-2024</t>
        </is>
      </c>
      <c r="B1345" s="1" t="n">
        <v>45526</v>
      </c>
      <c r="C1345" s="1" t="n">
        <v>45837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35491-2024</t>
        </is>
      </c>
      <c r="B1346" s="1" t="n">
        <v>45531</v>
      </c>
      <c r="C1346" s="1" t="n">
        <v>45837</v>
      </c>
      <c r="D1346" t="inlineStr">
        <is>
          <t>BLEKINGE LÄN</t>
        </is>
      </c>
      <c r="E1346" t="inlineStr">
        <is>
          <t>KARLSKRONA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35464-2024</t>
        </is>
      </c>
      <c r="B1347" s="1" t="n">
        <v>45531</v>
      </c>
      <c r="C1347" s="1" t="n">
        <v>45837</v>
      </c>
      <c r="D1347" t="inlineStr">
        <is>
          <t>BLEKINGE LÄN</t>
        </is>
      </c>
      <c r="E1347" t="inlineStr">
        <is>
          <t>KARLSKRONA</t>
        </is>
      </c>
      <c r="G1347" t="n">
        <v>7.8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35643-2024</t>
        </is>
      </c>
      <c r="B1348" s="1" t="n">
        <v>45532</v>
      </c>
      <c r="C1348" s="1" t="n">
        <v>45837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35642-2024</t>
        </is>
      </c>
      <c r="B1349" s="1" t="n">
        <v>45532</v>
      </c>
      <c r="C1349" s="1" t="n">
        <v>45837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35694-2024</t>
        </is>
      </c>
      <c r="B1350" s="1" t="n">
        <v>45532</v>
      </c>
      <c r="C1350" s="1" t="n">
        <v>45837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35695-2024</t>
        </is>
      </c>
      <c r="B1351" s="1" t="n">
        <v>45532</v>
      </c>
      <c r="C1351" s="1" t="n">
        <v>45837</v>
      </c>
      <c r="D1351" t="inlineStr">
        <is>
          <t>BLEKINGE LÄN</t>
        </is>
      </c>
      <c r="E1351" t="inlineStr">
        <is>
          <t>KARLSKRONA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35840-2024</t>
        </is>
      </c>
      <c r="B1352" s="1" t="n">
        <v>45532</v>
      </c>
      <c r="C1352" s="1" t="n">
        <v>45837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35696-2024</t>
        </is>
      </c>
      <c r="B1353" s="1" t="n">
        <v>45532</v>
      </c>
      <c r="C1353" s="1" t="n">
        <v>45837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35724-2024</t>
        </is>
      </c>
      <c r="B1354" s="1" t="n">
        <v>45532</v>
      </c>
      <c r="C1354" s="1" t="n">
        <v>45837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35841-2024</t>
        </is>
      </c>
      <c r="B1355" s="1" t="n">
        <v>45532</v>
      </c>
      <c r="C1355" s="1" t="n">
        <v>45837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36100-2024</t>
        </is>
      </c>
      <c r="B1356" s="1" t="n">
        <v>45533</v>
      </c>
      <c r="C1356" s="1" t="n">
        <v>45837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36371-2024</t>
        </is>
      </c>
      <c r="B1357" s="1" t="n">
        <v>45534</v>
      </c>
      <c r="C1357" s="1" t="n">
        <v>45837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36384-2024</t>
        </is>
      </c>
      <c r="B1358" s="1" t="n">
        <v>45534</v>
      </c>
      <c r="C1358" s="1" t="n">
        <v>45837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</v>
      </c>
      <c r="C1359" s="1" t="n">
        <v>45837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36576-2024</t>
        </is>
      </c>
      <c r="B1360" s="1" t="n">
        <v>45537</v>
      </c>
      <c r="C1360" s="1" t="n">
        <v>45837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36577-2024</t>
        </is>
      </c>
      <c r="B1361" s="1" t="n">
        <v>45537</v>
      </c>
      <c r="C1361" s="1" t="n">
        <v>45837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36581-2024</t>
        </is>
      </c>
      <c r="B1362" s="1" t="n">
        <v>45537</v>
      </c>
      <c r="C1362" s="1" t="n">
        <v>45837</v>
      </c>
      <c r="D1362" t="inlineStr">
        <is>
          <t>BLEKINGE LÄN</t>
        </is>
      </c>
      <c r="E1362" t="inlineStr">
        <is>
          <t>KARLSKRONA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36730-2024</t>
        </is>
      </c>
      <c r="B1363" s="1" t="n">
        <v>45537</v>
      </c>
      <c r="C1363" s="1" t="n">
        <v>45837</v>
      </c>
      <c r="D1363" t="inlineStr">
        <is>
          <t>BLEKINGE LÄN</t>
        </is>
      </c>
      <c r="E1363" t="inlineStr">
        <is>
          <t>KARLSKRONA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36731-2024</t>
        </is>
      </c>
      <c r="B1364" s="1" t="n">
        <v>45537</v>
      </c>
      <c r="C1364" s="1" t="n">
        <v>45837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36811-2024</t>
        </is>
      </c>
      <c r="B1365" s="1" t="n">
        <v>45538</v>
      </c>
      <c r="C1365" s="1" t="n">
        <v>45837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36807-2024</t>
        </is>
      </c>
      <c r="B1366" s="1" t="n">
        <v>45538</v>
      </c>
      <c r="C1366" s="1" t="n">
        <v>45837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36820-2024</t>
        </is>
      </c>
      <c r="B1367" s="1" t="n">
        <v>45538</v>
      </c>
      <c r="C1367" s="1" t="n">
        <v>45837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36843-2024</t>
        </is>
      </c>
      <c r="B1368" s="1" t="n">
        <v>45538</v>
      </c>
      <c r="C1368" s="1" t="n">
        <v>45837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37246-2024</t>
        </is>
      </c>
      <c r="B1369" s="1" t="n">
        <v>45540</v>
      </c>
      <c r="C1369" s="1" t="n">
        <v>45837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37339-2024</t>
        </is>
      </c>
      <c r="B1370" s="1" t="n">
        <v>45540</v>
      </c>
      <c r="C1370" s="1" t="n">
        <v>45837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37415-2024</t>
        </is>
      </c>
      <c r="B1371" s="1" t="n">
        <v>45540</v>
      </c>
      <c r="C1371" s="1" t="n">
        <v>45837</v>
      </c>
      <c r="D1371" t="inlineStr">
        <is>
          <t>BLEKINGE LÄN</t>
        </is>
      </c>
      <c r="E1371" t="inlineStr">
        <is>
          <t>KARLSKRONA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37487-2024</t>
        </is>
      </c>
      <c r="B1372" s="1" t="n">
        <v>45541</v>
      </c>
      <c r="C1372" s="1" t="n">
        <v>45837</v>
      </c>
      <c r="D1372" t="inlineStr">
        <is>
          <t>BLEKINGE LÄN</t>
        </is>
      </c>
      <c r="E1372" t="inlineStr">
        <is>
          <t>KARLSKRONA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38060-2024</t>
        </is>
      </c>
      <c r="B1373" s="1" t="n">
        <v>45544</v>
      </c>
      <c r="C1373" s="1" t="n">
        <v>45837</v>
      </c>
      <c r="D1373" t="inlineStr">
        <is>
          <t>BLEKINGE LÄN</t>
        </is>
      </c>
      <c r="E1373" t="inlineStr">
        <is>
          <t>KARLSKRONA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38253-2024</t>
        </is>
      </c>
      <c r="B1374" s="1" t="n">
        <v>45545</v>
      </c>
      <c r="C1374" s="1" t="n">
        <v>45837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38485-2024</t>
        </is>
      </c>
      <c r="B1375" s="1" t="n">
        <v>45546</v>
      </c>
      <c r="C1375" s="1" t="n">
        <v>45837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38915-2024</t>
        </is>
      </c>
      <c r="B1376" s="1" t="n">
        <v>45547</v>
      </c>
      <c r="C1376" s="1" t="n">
        <v>45837</v>
      </c>
      <c r="D1376" t="inlineStr">
        <is>
          <t>BLEKINGE LÄN</t>
        </is>
      </c>
      <c r="E1376" t="inlineStr">
        <is>
          <t>KARLSKRONA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39262-2024</t>
        </is>
      </c>
      <c r="B1377" s="1" t="n">
        <v>45551</v>
      </c>
      <c r="C1377" s="1" t="n">
        <v>45837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39360-2024</t>
        </is>
      </c>
      <c r="B1378" s="1" t="n">
        <v>45551</v>
      </c>
      <c r="C1378" s="1" t="n">
        <v>45837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45837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39537-2024</t>
        </is>
      </c>
      <c r="B1380" s="1" t="n">
        <v>45551</v>
      </c>
      <c r="C1380" s="1" t="n">
        <v>45837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39992-2024</t>
        </is>
      </c>
      <c r="B1381" s="1" t="n">
        <v>45553</v>
      </c>
      <c r="C1381" s="1" t="n">
        <v>45837</v>
      </c>
      <c r="D1381" t="inlineStr">
        <is>
          <t>BLEKINGE LÄN</t>
        </is>
      </c>
      <c r="E1381" t="inlineStr">
        <is>
          <t>KARLSKRONA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45837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40357-2024</t>
        </is>
      </c>
      <c r="B1383" s="1" t="n">
        <v>45555</v>
      </c>
      <c r="C1383" s="1" t="n">
        <v>45837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40635-2024</t>
        </is>
      </c>
      <c r="B1384" s="1" t="n">
        <v>45557</v>
      </c>
      <c r="C1384" s="1" t="n">
        <v>45837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40780-2024</t>
        </is>
      </c>
      <c r="B1385" s="1" t="n">
        <v>45558</v>
      </c>
      <c r="C1385" s="1" t="n">
        <v>45837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41000-2024</t>
        </is>
      </c>
      <c r="B1386" s="1" t="n">
        <v>45558</v>
      </c>
      <c r="C1386" s="1" t="n">
        <v>45837</v>
      </c>
      <c r="D1386" t="inlineStr">
        <is>
          <t>BLEKINGE LÄN</t>
        </is>
      </c>
      <c r="E1386" t="inlineStr">
        <is>
          <t>KARLSKRONA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41289-2024</t>
        </is>
      </c>
      <c r="B1387" s="1" t="n">
        <v>45559</v>
      </c>
      <c r="C1387" s="1" t="n">
        <v>45837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41867-2024</t>
        </is>
      </c>
      <c r="B1388" s="1" t="n">
        <v>45561</v>
      </c>
      <c r="C1388" s="1" t="n">
        <v>45837</v>
      </c>
      <c r="D1388" t="inlineStr">
        <is>
          <t>BLEKINGE LÄN</t>
        </is>
      </c>
      <c r="E1388" t="inlineStr">
        <is>
          <t>KARLSKRONA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42238-2024</t>
        </is>
      </c>
      <c r="B1389" s="1" t="n">
        <v>45562</v>
      </c>
      <c r="C1389" s="1" t="n">
        <v>45837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42613-2024</t>
        </is>
      </c>
      <c r="B1390" s="1" t="n">
        <v>45565</v>
      </c>
      <c r="C1390" s="1" t="n">
        <v>45837</v>
      </c>
      <c r="D1390" t="inlineStr">
        <is>
          <t>BLEKINGE LÄN</t>
        </is>
      </c>
      <c r="E1390" t="inlineStr">
        <is>
          <t>KARLSKRONA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42615-2024</t>
        </is>
      </c>
      <c r="B1391" s="1" t="n">
        <v>45565</v>
      </c>
      <c r="C1391" s="1" t="n">
        <v>45837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43091-2024</t>
        </is>
      </c>
      <c r="B1392" s="1" t="n">
        <v>45567</v>
      </c>
      <c r="C1392" s="1" t="n">
        <v>45837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43441-2024</t>
        </is>
      </c>
      <c r="B1393" s="1" t="n">
        <v>45568</v>
      </c>
      <c r="C1393" s="1" t="n">
        <v>45837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43444-2024</t>
        </is>
      </c>
      <c r="B1394" s="1" t="n">
        <v>45568</v>
      </c>
      <c r="C1394" s="1" t="n">
        <v>45837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43820-2024</t>
        </is>
      </c>
      <c r="B1395" s="1" t="n">
        <v>45571</v>
      </c>
      <c r="C1395" s="1" t="n">
        <v>45837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43867-2024</t>
        </is>
      </c>
      <c r="B1396" s="1" t="n">
        <v>45572</v>
      </c>
      <c r="C1396" s="1" t="n">
        <v>45837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44275-2024</t>
        </is>
      </c>
      <c r="B1397" s="1" t="n">
        <v>45573</v>
      </c>
      <c r="C1397" s="1" t="n">
        <v>45837</v>
      </c>
      <c r="D1397" t="inlineStr">
        <is>
          <t>BLEKINGE LÄN</t>
        </is>
      </c>
      <c r="E1397" t="inlineStr">
        <is>
          <t>KARLSKRONA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44425-2024</t>
        </is>
      </c>
      <c r="B1398" s="1" t="n">
        <v>45574</v>
      </c>
      <c r="C1398" s="1" t="n">
        <v>45837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44407-2024</t>
        </is>
      </c>
      <c r="B1399" s="1" t="n">
        <v>45573</v>
      </c>
      <c r="C1399" s="1" t="n">
        <v>45837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44211-2024</t>
        </is>
      </c>
      <c r="B1400" s="1" t="n">
        <v>45573</v>
      </c>
      <c r="C1400" s="1" t="n">
        <v>45837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44224-2024</t>
        </is>
      </c>
      <c r="B1401" s="1" t="n">
        <v>45573</v>
      </c>
      <c r="C1401" s="1" t="n">
        <v>45837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44586-2024</t>
        </is>
      </c>
      <c r="B1402" s="1" t="n">
        <v>45574</v>
      </c>
      <c r="C1402" s="1" t="n">
        <v>45837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45482-2024</t>
        </is>
      </c>
      <c r="B1403" s="1" t="n">
        <v>45576</v>
      </c>
      <c r="C1403" s="1" t="n">
        <v>45837</v>
      </c>
      <c r="D1403" t="inlineStr">
        <is>
          <t>BLEKINGE LÄN</t>
        </is>
      </c>
      <c r="E1403" t="inlineStr">
        <is>
          <t>KARLSKRONA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45483-2024</t>
        </is>
      </c>
      <c r="B1404" s="1" t="n">
        <v>45577</v>
      </c>
      <c r="C1404" s="1" t="n">
        <v>45837</v>
      </c>
      <c r="D1404" t="inlineStr">
        <is>
          <t>BLEKINGE LÄN</t>
        </is>
      </c>
      <c r="E1404" t="inlineStr">
        <is>
          <t>KARLSKRONA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45503-2024</t>
        </is>
      </c>
      <c r="B1405" s="1" t="n">
        <v>45578</v>
      </c>
      <c r="C1405" s="1" t="n">
        <v>45837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45594-2024</t>
        </is>
      </c>
      <c r="B1406" s="1" t="n">
        <v>45579</v>
      </c>
      <c r="C1406" s="1" t="n">
        <v>45837</v>
      </c>
      <c r="D1406" t="inlineStr">
        <is>
          <t>BLEKINGE LÄN</t>
        </is>
      </c>
      <c r="E1406" t="inlineStr">
        <is>
          <t>KARLSKRONA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45832-2024</t>
        </is>
      </c>
      <c r="B1407" s="1" t="n">
        <v>45579</v>
      </c>
      <c r="C1407" s="1" t="n">
        <v>45837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45601-2024</t>
        </is>
      </c>
      <c r="B1408" s="1" t="n">
        <v>45579</v>
      </c>
      <c r="C1408" s="1" t="n">
        <v>45837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46035-2024</t>
        </is>
      </c>
      <c r="B1409" s="1" t="n">
        <v>45580</v>
      </c>
      <c r="C1409" s="1" t="n">
        <v>45837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46178-2024</t>
        </is>
      </c>
      <c r="B1410" s="1" t="n">
        <v>45581</v>
      </c>
      <c r="C1410" s="1" t="n">
        <v>45837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46171-2024</t>
        </is>
      </c>
      <c r="B1411" s="1" t="n">
        <v>45581</v>
      </c>
      <c r="C1411" s="1" t="n">
        <v>45837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46096-2024</t>
        </is>
      </c>
      <c r="B1412" s="1" t="n">
        <v>45581</v>
      </c>
      <c r="C1412" s="1" t="n">
        <v>45837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47260-2024</t>
        </is>
      </c>
      <c r="B1413" s="1" t="n">
        <v>45586</v>
      </c>
      <c r="C1413" s="1" t="n">
        <v>45837</v>
      </c>
      <c r="D1413" t="inlineStr">
        <is>
          <t>BLEKINGE LÄN</t>
        </is>
      </c>
      <c r="E1413" t="inlineStr">
        <is>
          <t>KARLSKRONA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47255-2024</t>
        </is>
      </c>
      <c r="B1414" s="1" t="n">
        <v>45586</v>
      </c>
      <c r="C1414" s="1" t="n">
        <v>45837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47445-2024</t>
        </is>
      </c>
      <c r="B1415" s="1" t="n">
        <v>45587</v>
      </c>
      <c r="C1415" s="1" t="n">
        <v>45837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48458-2024</t>
        </is>
      </c>
      <c r="B1416" s="1" t="n">
        <v>45590</v>
      </c>
      <c r="C1416" s="1" t="n">
        <v>45837</v>
      </c>
      <c r="D1416" t="inlineStr">
        <is>
          <t>BLEKINGE LÄN</t>
        </is>
      </c>
      <c r="E1416" t="inlineStr">
        <is>
          <t>KARLSKRONA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48975-2024</t>
        </is>
      </c>
      <c r="B1417" s="1" t="n">
        <v>45594</v>
      </c>
      <c r="C1417" s="1" t="n">
        <v>45837</v>
      </c>
      <c r="D1417" t="inlineStr">
        <is>
          <t>BLEKINGE LÄN</t>
        </is>
      </c>
      <c r="E1417" t="inlineStr">
        <is>
          <t>KARLSKRONA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48989-2024</t>
        </is>
      </c>
      <c r="B1418" s="1" t="n">
        <v>45594</v>
      </c>
      <c r="C1418" s="1" t="n">
        <v>45837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48905-2024</t>
        </is>
      </c>
      <c r="B1419" s="1" t="n">
        <v>45594</v>
      </c>
      <c r="C1419" s="1" t="n">
        <v>45837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48967-2024</t>
        </is>
      </c>
      <c r="B1420" s="1" t="n">
        <v>45594</v>
      </c>
      <c r="C1420" s="1" t="n">
        <v>45837</v>
      </c>
      <c r="D1420" t="inlineStr">
        <is>
          <t>BLEKINGE LÄN</t>
        </is>
      </c>
      <c r="E1420" t="inlineStr">
        <is>
          <t>KARLSKRONA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48965-2024</t>
        </is>
      </c>
      <c r="B1421" s="1" t="n">
        <v>45594</v>
      </c>
      <c r="C1421" s="1" t="n">
        <v>45837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50354-2024</t>
        </is>
      </c>
      <c r="B1422" s="1" t="n">
        <v>45600</v>
      </c>
      <c r="C1422" s="1" t="n">
        <v>45837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50379-2024</t>
        </is>
      </c>
      <c r="B1423" s="1" t="n">
        <v>45601</v>
      </c>
      <c r="C1423" s="1" t="n">
        <v>45837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50630-2024</t>
        </is>
      </c>
      <c r="B1424" s="1" t="n">
        <v>45601</v>
      </c>
      <c r="C1424" s="1" t="n">
        <v>45837</v>
      </c>
      <c r="D1424" t="inlineStr">
        <is>
          <t>BLEKINGE LÄN</t>
        </is>
      </c>
      <c r="E1424" t="inlineStr">
        <is>
          <t>KARLSKRONA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45837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50831-2024</t>
        </is>
      </c>
      <c r="B1426" s="1" t="n">
        <v>45602</v>
      </c>
      <c r="C1426" s="1" t="n">
        <v>45837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51240-2024</t>
        </is>
      </c>
      <c r="B1427" s="1" t="n">
        <v>45602</v>
      </c>
      <c r="C1427" s="1" t="n">
        <v>45837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50851-2024</t>
        </is>
      </c>
      <c r="B1428" s="1" t="n">
        <v>45602</v>
      </c>
      <c r="C1428" s="1" t="n">
        <v>45837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51218-2024</t>
        </is>
      </c>
      <c r="B1429" s="1" t="n">
        <v>45602</v>
      </c>
      <c r="C1429" s="1" t="n">
        <v>45837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45837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51419-2024</t>
        </is>
      </c>
      <c r="B1431" s="1" t="n">
        <v>45604</v>
      </c>
      <c r="C1431" s="1" t="n">
        <v>45837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51904-2024</t>
        </is>
      </c>
      <c r="B1432" s="1" t="n">
        <v>45604</v>
      </c>
      <c r="C1432" s="1" t="n">
        <v>45837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51455-2024</t>
        </is>
      </c>
      <c r="B1433" s="1" t="n">
        <v>45604</v>
      </c>
      <c r="C1433" s="1" t="n">
        <v>45837</v>
      </c>
      <c r="D1433" t="inlineStr">
        <is>
          <t>BLEKINGE LÄN</t>
        </is>
      </c>
      <c r="E1433" t="inlineStr">
        <is>
          <t>KARLSKRONA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51459-2024</t>
        </is>
      </c>
      <c r="B1434" s="1" t="n">
        <v>45604</v>
      </c>
      <c r="C1434" s="1" t="n">
        <v>45837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45837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52759-2024</t>
        </is>
      </c>
      <c r="B1436" s="1" t="n">
        <v>45610</v>
      </c>
      <c r="C1436" s="1" t="n">
        <v>45837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52951-2024</t>
        </is>
      </c>
      <c r="B1437" s="1" t="n">
        <v>45610</v>
      </c>
      <c r="C1437" s="1" t="n">
        <v>45837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52758-2024</t>
        </is>
      </c>
      <c r="B1438" s="1" t="n">
        <v>45610</v>
      </c>
      <c r="C1438" s="1" t="n">
        <v>45837</v>
      </c>
      <c r="D1438" t="inlineStr">
        <is>
          <t>BLEKINGE LÄN</t>
        </is>
      </c>
      <c r="E1438" t="inlineStr">
        <is>
          <t>KARLSKRONA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52810-2024</t>
        </is>
      </c>
      <c r="B1439" s="1" t="n">
        <v>45610</v>
      </c>
      <c r="C1439" s="1" t="n">
        <v>45837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52682-2024</t>
        </is>
      </c>
      <c r="B1440" s="1" t="n">
        <v>45610</v>
      </c>
      <c r="C1440" s="1" t="n">
        <v>45837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53733-2024</t>
        </is>
      </c>
      <c r="B1441" s="1" t="n">
        <v>45615</v>
      </c>
      <c r="C1441" s="1" t="n">
        <v>45837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53730-2024</t>
        </is>
      </c>
      <c r="B1442" s="1" t="n">
        <v>45615</v>
      </c>
      <c r="C1442" s="1" t="n">
        <v>45837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53785-2024</t>
        </is>
      </c>
      <c r="B1443" s="1" t="n">
        <v>45615</v>
      </c>
      <c r="C1443" s="1" t="n">
        <v>45837</v>
      </c>
      <c r="D1443" t="inlineStr">
        <is>
          <t>BLEKINGE LÄN</t>
        </is>
      </c>
      <c r="E1443" t="inlineStr">
        <is>
          <t>KARLSKRONA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53735-2024</t>
        </is>
      </c>
      <c r="B1444" s="1" t="n">
        <v>45615</v>
      </c>
      <c r="C1444" s="1" t="n">
        <v>45837</v>
      </c>
      <c r="D1444" t="inlineStr">
        <is>
          <t>BLEKINGE LÄN</t>
        </is>
      </c>
      <c r="E1444" t="inlineStr">
        <is>
          <t>KARLSKRONA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53994-2024</t>
        </is>
      </c>
      <c r="B1445" s="1" t="n">
        <v>45616</v>
      </c>
      <c r="C1445" s="1" t="n">
        <v>45837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54920-2024</t>
        </is>
      </c>
      <c r="B1446" s="1" t="n">
        <v>45618</v>
      </c>
      <c r="C1446" s="1" t="n">
        <v>45837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54932-2024</t>
        </is>
      </c>
      <c r="B1447" s="1" t="n">
        <v>45618</v>
      </c>
      <c r="C1447" s="1" t="n">
        <v>45837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54956-2024</t>
        </is>
      </c>
      <c r="B1448" s="1" t="n">
        <v>45619</v>
      </c>
      <c r="C1448" s="1" t="n">
        <v>45837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55273-2024</t>
        </is>
      </c>
      <c r="B1449" s="1" t="n">
        <v>45621</v>
      </c>
      <c r="C1449" s="1" t="n">
        <v>45837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55270-2024</t>
        </is>
      </c>
      <c r="B1450" s="1" t="n">
        <v>45621</v>
      </c>
      <c r="C1450" s="1" t="n">
        <v>45837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55634-2024</t>
        </is>
      </c>
      <c r="B1451" s="1" t="n">
        <v>45622</v>
      </c>
      <c r="C1451" s="1" t="n">
        <v>45837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55452-2024</t>
        </is>
      </c>
      <c r="B1452" s="1" t="n">
        <v>45622</v>
      </c>
      <c r="C1452" s="1" t="n">
        <v>45837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55722-2024</t>
        </is>
      </c>
      <c r="B1453" s="1" t="n">
        <v>45622</v>
      </c>
      <c r="C1453" s="1" t="n">
        <v>45837</v>
      </c>
      <c r="D1453" t="inlineStr">
        <is>
          <t>BLEKINGE LÄN</t>
        </is>
      </c>
      <c r="E1453" t="inlineStr">
        <is>
          <t>KARLSKRONA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56117-2024</t>
        </is>
      </c>
      <c r="B1454" s="1" t="n">
        <v>45624</v>
      </c>
      <c r="C1454" s="1" t="n">
        <v>45837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56340-2024</t>
        </is>
      </c>
      <c r="B1455" s="1" t="n">
        <v>45624</v>
      </c>
      <c r="C1455" s="1" t="n">
        <v>45837</v>
      </c>
      <c r="D1455" t="inlineStr">
        <is>
          <t>BLEKINGE LÄN</t>
        </is>
      </c>
      <c r="E1455" t="inlineStr">
        <is>
          <t>KARLSKRONA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56476-2024</t>
        </is>
      </c>
      <c r="B1456" s="1" t="n">
        <v>45625</v>
      </c>
      <c r="C1456" s="1" t="n">
        <v>45837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57337-2024</t>
        </is>
      </c>
      <c r="B1457" s="1" t="n">
        <v>45629</v>
      </c>
      <c r="C1457" s="1" t="n">
        <v>45837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57345-2024</t>
        </is>
      </c>
      <c r="B1458" s="1" t="n">
        <v>45629</v>
      </c>
      <c r="C1458" s="1" t="n">
        <v>45837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</v>
      </c>
      <c r="C1459" s="1" t="n">
        <v>45837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57574-2024</t>
        </is>
      </c>
      <c r="B1460" s="1" t="n">
        <v>45630</v>
      </c>
      <c r="C1460" s="1" t="n">
        <v>45837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57567-2024</t>
        </is>
      </c>
      <c r="B1461" s="1" t="n">
        <v>45630</v>
      </c>
      <c r="C1461" s="1" t="n">
        <v>45837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45837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45837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57978-2024</t>
        </is>
      </c>
      <c r="B1464" s="1" t="n">
        <v>45631</v>
      </c>
      <c r="C1464" s="1" t="n">
        <v>45837</v>
      </c>
      <c r="D1464" t="inlineStr">
        <is>
          <t>BLEKINGE LÄN</t>
        </is>
      </c>
      <c r="E1464" t="inlineStr">
        <is>
          <t>KARLSKRONA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57982-2024</t>
        </is>
      </c>
      <c r="B1465" s="1" t="n">
        <v>45631</v>
      </c>
      <c r="C1465" s="1" t="n">
        <v>45837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57996-2024</t>
        </is>
      </c>
      <c r="B1466" s="1" t="n">
        <v>45631</v>
      </c>
      <c r="C1466" s="1" t="n">
        <v>45837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58004-2024</t>
        </is>
      </c>
      <c r="B1467" s="1" t="n">
        <v>45631</v>
      </c>
      <c r="C1467" s="1" t="n">
        <v>45837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58035-2024</t>
        </is>
      </c>
      <c r="B1468" s="1" t="n">
        <v>45631</v>
      </c>
      <c r="C1468" s="1" t="n">
        <v>45837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58296-2024</t>
        </is>
      </c>
      <c r="B1469" s="1" t="n">
        <v>45632</v>
      </c>
      <c r="C1469" s="1" t="n">
        <v>45837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58535-2024</t>
        </is>
      </c>
      <c r="B1470" s="1" t="n">
        <v>45635</v>
      </c>
      <c r="C1470" s="1" t="n">
        <v>45837</v>
      </c>
      <c r="D1470" t="inlineStr">
        <is>
          <t>BLEKINGE LÄN</t>
        </is>
      </c>
      <c r="E1470" t="inlineStr">
        <is>
          <t>KARLSKRONA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59066-2024</t>
        </is>
      </c>
      <c r="B1471" s="1" t="n">
        <v>45636</v>
      </c>
      <c r="C1471" s="1" t="n">
        <v>45837</v>
      </c>
      <c r="D1471" t="inlineStr">
        <is>
          <t>BLEKINGE LÄN</t>
        </is>
      </c>
      <c r="E1471" t="inlineStr">
        <is>
          <t>KARLSKRONA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59122-2024</t>
        </is>
      </c>
      <c r="B1472" s="1" t="n">
        <v>45637</v>
      </c>
      <c r="C1472" s="1" t="n">
        <v>45837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59577-2024</t>
        </is>
      </c>
      <c r="B1473" s="1" t="n">
        <v>45638</v>
      </c>
      <c r="C1473" s="1" t="n">
        <v>45837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59579-2024</t>
        </is>
      </c>
      <c r="B1474" s="1" t="n">
        <v>45638</v>
      </c>
      <c r="C1474" s="1" t="n">
        <v>45837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60348-2024</t>
        </is>
      </c>
      <c r="B1475" s="1" t="n">
        <v>45643</v>
      </c>
      <c r="C1475" s="1" t="n">
        <v>45837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60553-2024</t>
        </is>
      </c>
      <c r="B1476" s="1" t="n">
        <v>45643</v>
      </c>
      <c r="C1476" s="1" t="n">
        <v>45837</v>
      </c>
      <c r="D1476" t="inlineStr">
        <is>
          <t>BLEKINGE LÄN</t>
        </is>
      </c>
      <c r="E1476" t="inlineStr">
        <is>
          <t>KARLSKRONA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60924-2024</t>
        </is>
      </c>
      <c r="B1477" s="1" t="n">
        <v>45645</v>
      </c>
      <c r="C1477" s="1" t="n">
        <v>45837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60922-2024</t>
        </is>
      </c>
      <c r="B1478" s="1" t="n">
        <v>45645</v>
      </c>
      <c r="C1478" s="1" t="n">
        <v>45837</v>
      </c>
      <c r="D1478" t="inlineStr">
        <is>
          <t>BLEKINGE LÄN</t>
        </is>
      </c>
      <c r="E1478" t="inlineStr">
        <is>
          <t>KARLSKRONA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</v>
      </c>
      <c r="C1479" s="1" t="n">
        <v>45837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61295-2024</t>
        </is>
      </c>
      <c r="B1480" s="1" t="n">
        <v>45645</v>
      </c>
      <c r="C1480" s="1" t="n">
        <v>45837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61935-2024</t>
        </is>
      </c>
      <c r="B1481" s="1" t="n">
        <v>45646</v>
      </c>
      <c r="C1481" s="1" t="n">
        <v>45837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61679-2024</t>
        </is>
      </c>
      <c r="B1482" s="1" t="n">
        <v>45647</v>
      </c>
      <c r="C1482" s="1" t="n">
        <v>45837</v>
      </c>
      <c r="D1482" t="inlineStr">
        <is>
          <t>BLEKINGE LÄN</t>
        </is>
      </c>
      <c r="E1482" t="inlineStr">
        <is>
          <t>KARLSKRONA</t>
        </is>
      </c>
      <c r="G1482" t="n">
        <v>20.2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61737-2024</t>
        </is>
      </c>
      <c r="B1483" s="1" t="n">
        <v>45649</v>
      </c>
      <c r="C1483" s="1" t="n">
        <v>45837</v>
      </c>
      <c r="D1483" t="inlineStr">
        <is>
          <t>BLEKINGE LÄN</t>
        </is>
      </c>
      <c r="E1483" t="inlineStr">
        <is>
          <t>KARLSKRONA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62025-2024</t>
        </is>
      </c>
      <c r="B1484" s="1" t="n">
        <v>45656</v>
      </c>
      <c r="C1484" s="1" t="n">
        <v>45837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330-2025</t>
        </is>
      </c>
      <c r="B1485" s="1" t="n">
        <v>45657</v>
      </c>
      <c r="C1485" s="1" t="n">
        <v>45837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660-2025</t>
        </is>
      </c>
      <c r="B1486" s="1" t="n">
        <v>45662</v>
      </c>
      <c r="C1486" s="1" t="n">
        <v>45837</v>
      </c>
      <c r="D1486" t="inlineStr">
        <is>
          <t>BLEKINGE LÄN</t>
        </is>
      </c>
      <c r="E1486" t="inlineStr">
        <is>
          <t>KARLSKRONA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664-2025</t>
        </is>
      </c>
      <c r="B1487" s="1" t="n">
        <v>45662</v>
      </c>
      <c r="C1487" s="1" t="n">
        <v>45837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663-2025</t>
        </is>
      </c>
      <c r="B1488" s="1" t="n">
        <v>45662</v>
      </c>
      <c r="C1488" s="1" t="n">
        <v>45837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468-2025</t>
        </is>
      </c>
      <c r="B1489" s="1" t="n">
        <v>45664</v>
      </c>
      <c r="C1489" s="1" t="n">
        <v>45837</v>
      </c>
      <c r="D1489" t="inlineStr">
        <is>
          <t>BLEKINGE LÄN</t>
        </is>
      </c>
      <c r="E1489" t="inlineStr">
        <is>
          <t>KARLSKRONA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622-2025</t>
        </is>
      </c>
      <c r="B1490" s="1" t="n">
        <v>45664</v>
      </c>
      <c r="C1490" s="1" t="n">
        <v>45837</v>
      </c>
      <c r="D1490" t="inlineStr">
        <is>
          <t>BLEKINGE LÄN</t>
        </is>
      </c>
      <c r="E1490" t="inlineStr">
        <is>
          <t>KARLSKRONA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621-2025</t>
        </is>
      </c>
      <c r="B1491" s="1" t="n">
        <v>45664</v>
      </c>
      <c r="C1491" s="1" t="n">
        <v>45837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619-2025</t>
        </is>
      </c>
      <c r="B1492" s="1" t="n">
        <v>45664</v>
      </c>
      <c r="C1492" s="1" t="n">
        <v>45837</v>
      </c>
      <c r="D1492" t="inlineStr">
        <is>
          <t>BLEKINGE LÄN</t>
        </is>
      </c>
      <c r="E1492" t="inlineStr">
        <is>
          <t>KARLSKRONA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1820-2025</t>
        </is>
      </c>
      <c r="B1493" s="1" t="n">
        <v>45671</v>
      </c>
      <c r="C1493" s="1" t="n">
        <v>45837</v>
      </c>
      <c r="D1493" t="inlineStr">
        <is>
          <t>BLEKINGE LÄN</t>
        </is>
      </c>
      <c r="E1493" t="inlineStr">
        <is>
          <t>KARLSKRONA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2133-2025</t>
        </is>
      </c>
      <c r="B1494" s="1" t="n">
        <v>45672</v>
      </c>
      <c r="C1494" s="1" t="n">
        <v>45837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2169-2025</t>
        </is>
      </c>
      <c r="B1495" s="1" t="n">
        <v>45673</v>
      </c>
      <c r="C1495" s="1" t="n">
        <v>45837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2495-2025</t>
        </is>
      </c>
      <c r="B1496" s="1" t="n">
        <v>45673</v>
      </c>
      <c r="C1496" s="1" t="n">
        <v>45837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2531-2025</t>
        </is>
      </c>
      <c r="B1497" s="1" t="n">
        <v>45673</v>
      </c>
      <c r="C1497" s="1" t="n">
        <v>45837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2413-2025</t>
        </is>
      </c>
      <c r="B1498" s="1" t="n">
        <v>45674</v>
      </c>
      <c r="C1498" s="1" t="n">
        <v>45837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2461-2025</t>
        </is>
      </c>
      <c r="B1499" s="1" t="n">
        <v>45674</v>
      </c>
      <c r="C1499" s="1" t="n">
        <v>45837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2414-2025</t>
        </is>
      </c>
      <c r="B1500" s="1" t="n">
        <v>45674</v>
      </c>
      <c r="C1500" s="1" t="n">
        <v>45837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2416-2025</t>
        </is>
      </c>
      <c r="B1501" s="1" t="n">
        <v>45674</v>
      </c>
      <c r="C1501" s="1" t="n">
        <v>45837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3031-2025</t>
        </is>
      </c>
      <c r="B1502" s="1" t="n">
        <v>45678</v>
      </c>
      <c r="C1502" s="1" t="n">
        <v>45837</v>
      </c>
      <c r="D1502" t="inlineStr">
        <is>
          <t>BLEKINGE LÄN</t>
        </is>
      </c>
      <c r="E1502" t="inlineStr">
        <is>
          <t>KARLSKRONA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3025-2025</t>
        </is>
      </c>
      <c r="B1503" s="1" t="n">
        <v>45678</v>
      </c>
      <c r="C1503" s="1" t="n">
        <v>45837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3450-2025</t>
        </is>
      </c>
      <c r="B1504" s="1" t="n">
        <v>45679</v>
      </c>
      <c r="C1504" s="1" t="n">
        <v>45837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3547-2025</t>
        </is>
      </c>
      <c r="B1505" s="1" t="n">
        <v>45680</v>
      </c>
      <c r="C1505" s="1" t="n">
        <v>45837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3403-2025</t>
        </is>
      </c>
      <c r="B1506" s="1" t="n">
        <v>45680</v>
      </c>
      <c r="C1506" s="1" t="n">
        <v>45837</v>
      </c>
      <c r="D1506" t="inlineStr">
        <is>
          <t>BLEKINGE LÄN</t>
        </is>
      </c>
      <c r="E1506" t="inlineStr">
        <is>
          <t>KARLSKRONA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3831-2025</t>
        </is>
      </c>
      <c r="B1507" s="1" t="n">
        <v>45681</v>
      </c>
      <c r="C1507" s="1" t="n">
        <v>45837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3598-2025</t>
        </is>
      </c>
      <c r="B1508" s="1" t="n">
        <v>45681</v>
      </c>
      <c r="C1508" s="1" t="n">
        <v>45837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3860-2025</t>
        </is>
      </c>
      <c r="B1509" s="1" t="n">
        <v>45683</v>
      </c>
      <c r="C1509" s="1" t="n">
        <v>45837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4127-2025</t>
        </is>
      </c>
      <c r="B1510" s="1" t="n">
        <v>45685</v>
      </c>
      <c r="C1510" s="1" t="n">
        <v>45837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4518-2025</t>
        </is>
      </c>
      <c r="B1511" s="1" t="n">
        <v>45686</v>
      </c>
      <c r="C1511" s="1" t="n">
        <v>45837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4519-2025</t>
        </is>
      </c>
      <c r="B1512" s="1" t="n">
        <v>45686</v>
      </c>
      <c r="C1512" s="1" t="n">
        <v>45837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5004-2025</t>
        </is>
      </c>
      <c r="B1513" s="1" t="n">
        <v>45691</v>
      </c>
      <c r="C1513" s="1" t="n">
        <v>45837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5218-2025</t>
        </is>
      </c>
      <c r="B1514" s="1" t="n">
        <v>45691</v>
      </c>
      <c r="C1514" s="1" t="n">
        <v>45837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5276-2025</t>
        </is>
      </c>
      <c r="B1515" s="1" t="n">
        <v>45692</v>
      </c>
      <c r="C1515" s="1" t="n">
        <v>45837</v>
      </c>
      <c r="D1515" t="inlineStr">
        <is>
          <t>BLEKINGE LÄN</t>
        </is>
      </c>
      <c r="E1515" t="inlineStr">
        <is>
          <t>KARLSKRONA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5630-2025</t>
        </is>
      </c>
      <c r="B1516" s="1" t="n">
        <v>45693</v>
      </c>
      <c r="C1516" s="1" t="n">
        <v>45837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5543-2025</t>
        </is>
      </c>
      <c r="B1517" s="1" t="n">
        <v>45693</v>
      </c>
      <c r="C1517" s="1" t="n">
        <v>45837</v>
      </c>
      <c r="D1517" t="inlineStr">
        <is>
          <t>BLEKINGE LÄN</t>
        </is>
      </c>
      <c r="E1517" t="inlineStr">
        <is>
          <t>KARLSKRONA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5852-2025</t>
        </is>
      </c>
      <c r="B1518" s="1" t="n">
        <v>45695</v>
      </c>
      <c r="C1518" s="1" t="n">
        <v>45837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5885-2025</t>
        </is>
      </c>
      <c r="B1519" s="1" t="n">
        <v>45695</v>
      </c>
      <c r="C1519" s="1" t="n">
        <v>45837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5913-2025</t>
        </is>
      </c>
      <c r="B1520" s="1" t="n">
        <v>45695</v>
      </c>
      <c r="C1520" s="1" t="n">
        <v>45837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5882-2025</t>
        </is>
      </c>
      <c r="B1521" s="1" t="n">
        <v>45695</v>
      </c>
      <c r="C1521" s="1" t="n">
        <v>45837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5902-2025</t>
        </is>
      </c>
      <c r="B1522" s="1" t="n">
        <v>45695</v>
      </c>
      <c r="C1522" s="1" t="n">
        <v>45837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5863-2025</t>
        </is>
      </c>
      <c r="B1523" s="1" t="n">
        <v>45695</v>
      </c>
      <c r="C1523" s="1" t="n">
        <v>45837</v>
      </c>
      <c r="D1523" t="inlineStr">
        <is>
          <t>BLEKINGE LÄN</t>
        </is>
      </c>
      <c r="E1523" t="inlineStr">
        <is>
          <t>KARLSKRONA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6238-2025</t>
        </is>
      </c>
      <c r="B1524" s="1" t="n">
        <v>45697</v>
      </c>
      <c r="C1524" s="1" t="n">
        <v>45837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6236-2025</t>
        </is>
      </c>
      <c r="B1525" s="1" t="n">
        <v>45697</v>
      </c>
      <c r="C1525" s="1" t="n">
        <v>45837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6199-2025</t>
        </is>
      </c>
      <c r="B1526" s="1" t="n">
        <v>45698</v>
      </c>
      <c r="C1526" s="1" t="n">
        <v>45837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6470-2025</t>
        </is>
      </c>
      <c r="B1527" s="1" t="n">
        <v>45699</v>
      </c>
      <c r="C1527" s="1" t="n">
        <v>45837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6871-2025</t>
        </is>
      </c>
      <c r="B1528" s="1" t="n">
        <v>45701</v>
      </c>
      <c r="C1528" s="1" t="n">
        <v>45837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6866-2025</t>
        </is>
      </c>
      <c r="B1529" s="1" t="n">
        <v>45701</v>
      </c>
      <c r="C1529" s="1" t="n">
        <v>45837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7352-2025</t>
        </is>
      </c>
      <c r="B1530" s="1" t="n">
        <v>45703</v>
      </c>
      <c r="C1530" s="1" t="n">
        <v>45837</v>
      </c>
      <c r="D1530" t="inlineStr">
        <is>
          <t>BLEKINGE LÄN</t>
        </is>
      </c>
      <c r="E1530" t="inlineStr">
        <is>
          <t>KARLSKRONA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7609-2025</t>
        </is>
      </c>
      <c r="B1531" s="1" t="n">
        <v>45705</v>
      </c>
      <c r="C1531" s="1" t="n">
        <v>45837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7465-2025</t>
        </is>
      </c>
      <c r="B1532" s="1" t="n">
        <v>45705</v>
      </c>
      <c r="C1532" s="1" t="n">
        <v>45837</v>
      </c>
      <c r="D1532" t="inlineStr">
        <is>
          <t>BLEKINGE LÄN</t>
        </is>
      </c>
      <c r="E1532" t="inlineStr">
        <is>
          <t>KARLSKRONA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7520-2025</t>
        </is>
      </c>
      <c r="B1533" s="1" t="n">
        <v>45705</v>
      </c>
      <c r="C1533" s="1" t="n">
        <v>45837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7994-2025</t>
        </is>
      </c>
      <c r="B1534" s="1" t="n">
        <v>45707</v>
      </c>
      <c r="C1534" s="1" t="n">
        <v>45837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7997-2025</t>
        </is>
      </c>
      <c r="B1535" s="1" t="n">
        <v>45707</v>
      </c>
      <c r="C1535" s="1" t="n">
        <v>45837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8619-2025</t>
        </is>
      </c>
      <c r="B1536" s="1" t="n">
        <v>45711</v>
      </c>
      <c r="C1536" s="1" t="n">
        <v>45837</v>
      </c>
      <c r="D1536" t="inlineStr">
        <is>
          <t>BLEKINGE LÄN</t>
        </is>
      </c>
      <c r="E1536" t="inlineStr">
        <is>
          <t>KARLSKRONA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</v>
      </c>
      <c r="C1537" s="1" t="n">
        <v>45837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45837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45837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8837-2025</t>
        </is>
      </c>
      <c r="B1540" s="1" t="n">
        <v>45713</v>
      </c>
      <c r="C1540" s="1" t="n">
        <v>45837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8899-2025</t>
        </is>
      </c>
      <c r="B1541" s="1" t="n">
        <v>45713</v>
      </c>
      <c r="C1541" s="1" t="n">
        <v>45837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8901-2025</t>
        </is>
      </c>
      <c r="B1542" s="1" t="n">
        <v>45713</v>
      </c>
      <c r="C1542" s="1" t="n">
        <v>45837</v>
      </c>
      <c r="D1542" t="inlineStr">
        <is>
          <t>BLEKINGE LÄN</t>
        </is>
      </c>
      <c r="E1542" t="inlineStr">
        <is>
          <t>KARLSKRONA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9014-2025</t>
        </is>
      </c>
      <c r="B1543" s="1" t="n">
        <v>45713</v>
      </c>
      <c r="C1543" s="1" t="n">
        <v>45837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9054-2025</t>
        </is>
      </c>
      <c r="B1544" s="1" t="n">
        <v>45713</v>
      </c>
      <c r="C1544" s="1" t="n">
        <v>45837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45837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9347-2025</t>
        </is>
      </c>
      <c r="B1546" s="1" t="n">
        <v>45714</v>
      </c>
      <c r="C1546" s="1" t="n">
        <v>45837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9345-2025</t>
        </is>
      </c>
      <c r="B1547" s="1" t="n">
        <v>45714</v>
      </c>
      <c r="C1547" s="1" t="n">
        <v>45837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9586-2025</t>
        </is>
      </c>
      <c r="B1548" s="1" t="n">
        <v>45714</v>
      </c>
      <c r="C1548" s="1" t="n">
        <v>45837</v>
      </c>
      <c r="D1548" t="inlineStr">
        <is>
          <t>BLEKINGE LÄN</t>
        </is>
      </c>
      <c r="E1548" t="inlineStr">
        <is>
          <t>KARLSKRONA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9349-2025</t>
        </is>
      </c>
      <c r="B1549" s="1" t="n">
        <v>45714</v>
      </c>
      <c r="C1549" s="1" t="n">
        <v>45837</v>
      </c>
      <c r="D1549" t="inlineStr">
        <is>
          <t>BLEKINGE LÄN</t>
        </is>
      </c>
      <c r="E1549" t="inlineStr">
        <is>
          <t>KARLSKRONA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9407-2025</t>
        </is>
      </c>
      <c r="B1550" s="1" t="n">
        <v>45715</v>
      </c>
      <c r="C1550" s="1" t="n">
        <v>45837</v>
      </c>
      <c r="D1550" t="inlineStr">
        <is>
          <t>BLEKINGE LÄN</t>
        </is>
      </c>
      <c r="E1550" t="inlineStr">
        <is>
          <t>KARLSKRONA</t>
        </is>
      </c>
      <c r="G1550" t="n">
        <v>11.4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9410-2025</t>
        </is>
      </c>
      <c r="B1551" s="1" t="n">
        <v>45715</v>
      </c>
      <c r="C1551" s="1" t="n">
        <v>45837</v>
      </c>
      <c r="D1551" t="inlineStr">
        <is>
          <t>BLEKINGE LÄN</t>
        </is>
      </c>
      <c r="E1551" t="inlineStr">
        <is>
          <t>KARLSKRONA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9415-2025</t>
        </is>
      </c>
      <c r="B1552" s="1" t="n">
        <v>45715</v>
      </c>
      <c r="C1552" s="1" t="n">
        <v>45837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9413-2025</t>
        </is>
      </c>
      <c r="B1553" s="1" t="n">
        <v>45715</v>
      </c>
      <c r="C1553" s="1" t="n">
        <v>45837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9889-2025</t>
        </is>
      </c>
      <c r="B1554" s="1" t="n">
        <v>45716</v>
      </c>
      <c r="C1554" s="1" t="n">
        <v>45837</v>
      </c>
      <c r="D1554" t="inlineStr">
        <is>
          <t>BLEKINGE LÄN</t>
        </is>
      </c>
      <c r="E1554" t="inlineStr">
        <is>
          <t>KARLSKRONA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9728-2025</t>
        </is>
      </c>
      <c r="B1555" s="1" t="n">
        <v>45716</v>
      </c>
      <c r="C1555" s="1" t="n">
        <v>45837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9778-2025</t>
        </is>
      </c>
      <c r="B1556" s="1" t="n">
        <v>45716</v>
      </c>
      <c r="C1556" s="1" t="n">
        <v>45837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10233-2025</t>
        </is>
      </c>
      <c r="B1557" s="1" t="n">
        <v>45719</v>
      </c>
      <c r="C1557" s="1" t="n">
        <v>45837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10296-2025</t>
        </is>
      </c>
      <c r="B1558" s="1" t="n">
        <v>45720</v>
      </c>
      <c r="C1558" s="1" t="n">
        <v>45837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10298-2025</t>
        </is>
      </c>
      <c r="B1559" s="1" t="n">
        <v>45720</v>
      </c>
      <c r="C1559" s="1" t="n">
        <v>45837</v>
      </c>
      <c r="D1559" t="inlineStr">
        <is>
          <t>BLEKINGE LÄN</t>
        </is>
      </c>
      <c r="E1559" t="inlineStr">
        <is>
          <t>KARLSKRONA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10295-2025</t>
        </is>
      </c>
      <c r="B1560" s="1" t="n">
        <v>45720</v>
      </c>
      <c r="C1560" s="1" t="n">
        <v>45837</v>
      </c>
      <c r="D1560" t="inlineStr">
        <is>
          <t>BLEKINGE LÄN</t>
        </is>
      </c>
      <c r="E1560" t="inlineStr">
        <is>
          <t>KARLSKRONA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10301-2025</t>
        </is>
      </c>
      <c r="B1561" s="1" t="n">
        <v>45720</v>
      </c>
      <c r="C1561" s="1" t="n">
        <v>45837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10647-2025</t>
        </is>
      </c>
      <c r="B1562" s="1" t="n">
        <v>45721</v>
      </c>
      <c r="C1562" s="1" t="n">
        <v>45837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10936-2025</t>
        </is>
      </c>
      <c r="B1563" s="1" t="n">
        <v>45722</v>
      </c>
      <c r="C1563" s="1" t="n">
        <v>45837</v>
      </c>
      <c r="D1563" t="inlineStr">
        <is>
          <t>BLEKINGE LÄN</t>
        </is>
      </c>
      <c r="E1563" t="inlineStr">
        <is>
          <t>KARLSKRONA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10731-2025</t>
        </is>
      </c>
      <c r="B1564" s="1" t="n">
        <v>45722</v>
      </c>
      <c r="C1564" s="1" t="n">
        <v>45837</v>
      </c>
      <c r="D1564" t="inlineStr">
        <is>
          <t>BLEKINGE LÄN</t>
        </is>
      </c>
      <c r="E1564" t="inlineStr">
        <is>
          <t>KARLSKRONA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10702-2025</t>
        </is>
      </c>
      <c r="B1565" s="1" t="n">
        <v>45722</v>
      </c>
      <c r="C1565" s="1" t="n">
        <v>45837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11639-2025</t>
        </is>
      </c>
      <c r="B1566" s="1" t="n">
        <v>45727</v>
      </c>
      <c r="C1566" s="1" t="n">
        <v>45837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11676-2025</t>
        </is>
      </c>
      <c r="B1567" s="1" t="n">
        <v>45727</v>
      </c>
      <c r="C1567" s="1" t="n">
        <v>45837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12059-2025</t>
        </is>
      </c>
      <c r="B1568" s="1" t="n">
        <v>45728</v>
      </c>
      <c r="C1568" s="1" t="n">
        <v>45837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12899-2025</t>
        </is>
      </c>
      <c r="B1569" s="1" t="n">
        <v>45733</v>
      </c>
      <c r="C1569" s="1" t="n">
        <v>45837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45837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45837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12718-2025</t>
        </is>
      </c>
      <c r="B1572" s="1" t="n">
        <v>45733</v>
      </c>
      <c r="C1572" s="1" t="n">
        <v>45837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12668-2025</t>
        </is>
      </c>
      <c r="B1573" s="1" t="n">
        <v>45733</v>
      </c>
      <c r="C1573" s="1" t="n">
        <v>45837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12672-2025</t>
        </is>
      </c>
      <c r="B1574" s="1" t="n">
        <v>45733</v>
      </c>
      <c r="C1574" s="1" t="n">
        <v>45837</v>
      </c>
      <c r="D1574" t="inlineStr">
        <is>
          <t>BLEKINGE LÄN</t>
        </is>
      </c>
      <c r="E1574" t="inlineStr">
        <is>
          <t>KARLSKRONA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12896-2025</t>
        </is>
      </c>
      <c r="B1575" s="1" t="n">
        <v>45733</v>
      </c>
      <c r="C1575" s="1" t="n">
        <v>45837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13410-2025</t>
        </is>
      </c>
      <c r="B1576" s="1" t="n">
        <v>45735</v>
      </c>
      <c r="C1576" s="1" t="n">
        <v>45837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13411-2025</t>
        </is>
      </c>
      <c r="B1577" s="1" t="n">
        <v>45736</v>
      </c>
      <c r="C1577" s="1" t="n">
        <v>45837</v>
      </c>
      <c r="D1577" t="inlineStr">
        <is>
          <t>BLEKINGE LÄN</t>
        </is>
      </c>
      <c r="E1577" t="inlineStr">
        <is>
          <t>KARLSKRONA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13395-2025</t>
        </is>
      </c>
      <c r="B1578" s="1" t="n">
        <v>45735</v>
      </c>
      <c r="C1578" s="1" t="n">
        <v>45837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13497-2025</t>
        </is>
      </c>
      <c r="B1579" s="1" t="n">
        <v>45736</v>
      </c>
      <c r="C1579" s="1" t="n">
        <v>45837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13922-2025</t>
        </is>
      </c>
      <c r="B1580" s="1" t="n">
        <v>45737</v>
      </c>
      <c r="C1580" s="1" t="n">
        <v>45837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14054-2025</t>
        </is>
      </c>
      <c r="B1581" s="1" t="n">
        <v>45740</v>
      </c>
      <c r="C1581" s="1" t="n">
        <v>45837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14790-2025</t>
        </is>
      </c>
      <c r="B1582" s="1" t="n">
        <v>45742</v>
      </c>
      <c r="C1582" s="1" t="n">
        <v>45837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14686-2025</t>
        </is>
      </c>
      <c r="B1583" s="1" t="n">
        <v>45742</v>
      </c>
      <c r="C1583" s="1" t="n">
        <v>45837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14644-2025</t>
        </is>
      </c>
      <c r="B1584" s="1" t="n">
        <v>45742</v>
      </c>
      <c r="C1584" s="1" t="n">
        <v>45837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14938-2025</t>
        </is>
      </c>
      <c r="B1585" s="1" t="n">
        <v>45743</v>
      </c>
      <c r="C1585" s="1" t="n">
        <v>45837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15249-2025</t>
        </is>
      </c>
      <c r="B1586" s="1" t="n">
        <v>45744</v>
      </c>
      <c r="C1586" s="1" t="n">
        <v>45837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15293-2025</t>
        </is>
      </c>
      <c r="B1587" s="1" t="n">
        <v>45744</v>
      </c>
      <c r="C1587" s="1" t="n">
        <v>45837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45837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15592-2025</t>
        </is>
      </c>
      <c r="B1589" s="1" t="n">
        <v>45747</v>
      </c>
      <c r="C1589" s="1" t="n">
        <v>45837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15549-2025</t>
        </is>
      </c>
      <c r="B1590" s="1" t="n">
        <v>45747</v>
      </c>
      <c r="C1590" s="1" t="n">
        <v>45837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15583-2025</t>
        </is>
      </c>
      <c r="B1591" s="1" t="n">
        <v>45747</v>
      </c>
      <c r="C1591" s="1" t="n">
        <v>45837</v>
      </c>
      <c r="D1591" t="inlineStr">
        <is>
          <t>BLEKINGE LÄN</t>
        </is>
      </c>
      <c r="E1591" t="inlineStr">
        <is>
          <t>KARLSKRONA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15589-2025</t>
        </is>
      </c>
      <c r="B1592" s="1" t="n">
        <v>45747</v>
      </c>
      <c r="C1592" s="1" t="n">
        <v>45837</v>
      </c>
      <c r="D1592" t="inlineStr">
        <is>
          <t>BLEKINGE LÄN</t>
        </is>
      </c>
      <c r="E1592" t="inlineStr">
        <is>
          <t>KARLSKRONA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15821-2025</t>
        </is>
      </c>
      <c r="B1593" s="1" t="n">
        <v>45748</v>
      </c>
      <c r="C1593" s="1" t="n">
        <v>45837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16077-2025</t>
        </is>
      </c>
      <c r="B1594" s="1" t="n">
        <v>45749</v>
      </c>
      <c r="C1594" s="1" t="n">
        <v>45837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16060-2025</t>
        </is>
      </c>
      <c r="B1595" s="1" t="n">
        <v>45749</v>
      </c>
      <c r="C1595" s="1" t="n">
        <v>45837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16638-2025</t>
        </is>
      </c>
      <c r="B1596" s="1" t="n">
        <v>45754</v>
      </c>
      <c r="C1596" s="1" t="n">
        <v>45837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17109-2025</t>
        </is>
      </c>
      <c r="B1597" s="1" t="n">
        <v>45754</v>
      </c>
      <c r="C1597" s="1" t="n">
        <v>45837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17194-2025</t>
        </is>
      </c>
      <c r="B1598" s="1" t="n">
        <v>45755</v>
      </c>
      <c r="C1598" s="1" t="n">
        <v>45837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17309-2025</t>
        </is>
      </c>
      <c r="B1599" s="1" t="n">
        <v>45756</v>
      </c>
      <c r="C1599" s="1" t="n">
        <v>45837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17305-2025</t>
        </is>
      </c>
      <c r="B1600" s="1" t="n">
        <v>45756</v>
      </c>
      <c r="C1600" s="1" t="n">
        <v>45837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17308-2025</t>
        </is>
      </c>
      <c r="B1601" s="1" t="n">
        <v>45756</v>
      </c>
      <c r="C1601" s="1" t="n">
        <v>45837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18124-2025</t>
        </is>
      </c>
      <c r="B1602" s="1" t="n">
        <v>45761</v>
      </c>
      <c r="C1602" s="1" t="n">
        <v>45837</v>
      </c>
      <c r="D1602" t="inlineStr">
        <is>
          <t>BLEKINGE LÄN</t>
        </is>
      </c>
      <c r="E1602" t="inlineStr">
        <is>
          <t>KARLSKRONA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19084-2025</t>
        </is>
      </c>
      <c r="B1603" s="1" t="n">
        <v>45766</v>
      </c>
      <c r="C1603" s="1" t="n">
        <v>45837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19678-2025</t>
        </is>
      </c>
      <c r="B1604" s="1" t="n">
        <v>45770</v>
      </c>
      <c r="C1604" s="1" t="n">
        <v>45837</v>
      </c>
      <c r="D1604" t="inlineStr">
        <is>
          <t>BLEKINGE LÄN</t>
        </is>
      </c>
      <c r="E1604" t="inlineStr">
        <is>
          <t>KARLSKRONA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19444-2025</t>
        </is>
      </c>
      <c r="B1605" s="1" t="n">
        <v>45770</v>
      </c>
      <c r="C1605" s="1" t="n">
        <v>45837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20064-2025</t>
        </is>
      </c>
      <c r="B1606" s="1" t="n">
        <v>45772</v>
      </c>
      <c r="C1606" s="1" t="n">
        <v>45837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20094-2025</t>
        </is>
      </c>
      <c r="B1607" s="1" t="n">
        <v>45772</v>
      </c>
      <c r="C1607" s="1" t="n">
        <v>45837</v>
      </c>
      <c r="D1607" t="inlineStr">
        <is>
          <t>BLEKINGE LÄN</t>
        </is>
      </c>
      <c r="E1607" t="inlineStr">
        <is>
          <t>KARLSKRONA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20516-2025</t>
        </is>
      </c>
      <c r="B1608" s="1" t="n">
        <v>45775</v>
      </c>
      <c r="C1608" s="1" t="n">
        <v>45837</v>
      </c>
      <c r="D1608" t="inlineStr">
        <is>
          <t>BLEKINGE LÄN</t>
        </is>
      </c>
      <c r="E1608" t="inlineStr">
        <is>
          <t>KARLSKRONA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20546-2025</t>
        </is>
      </c>
      <c r="B1609" s="1" t="n">
        <v>45775</v>
      </c>
      <c r="C1609" s="1" t="n">
        <v>45837</v>
      </c>
      <c r="D1609" t="inlineStr">
        <is>
          <t>BLEKINGE LÄN</t>
        </is>
      </c>
      <c r="E1609" t="inlineStr">
        <is>
          <t>KARLSKRONA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21582-2025</t>
        </is>
      </c>
      <c r="B1610" s="1" t="n">
        <v>45782</v>
      </c>
      <c r="C1610" s="1" t="n">
        <v>45837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21586-2025</t>
        </is>
      </c>
      <c r="B1611" s="1" t="n">
        <v>45783</v>
      </c>
      <c r="C1611" s="1" t="n">
        <v>45837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21606-2025</t>
        </is>
      </c>
      <c r="B1612" s="1" t="n">
        <v>45783</v>
      </c>
      <c r="C1612" s="1" t="n">
        <v>45837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21648-2025</t>
        </is>
      </c>
      <c r="B1613" s="1" t="n">
        <v>45783</v>
      </c>
      <c r="C1613" s="1" t="n">
        <v>45837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45837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21953-2025</t>
        </is>
      </c>
      <c r="B1615" s="1" t="n">
        <v>45784</v>
      </c>
      <c r="C1615" s="1" t="n">
        <v>45837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21834-2025</t>
        </is>
      </c>
      <c r="B1616" s="1" t="n">
        <v>45784</v>
      </c>
      <c r="C1616" s="1" t="n">
        <v>45837</v>
      </c>
      <c r="D1616" t="inlineStr">
        <is>
          <t>BLEKINGE LÄN</t>
        </is>
      </c>
      <c r="E1616" t="inlineStr">
        <is>
          <t>KARLSKRONA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21832-2025</t>
        </is>
      </c>
      <c r="B1617" s="1" t="n">
        <v>45784</v>
      </c>
      <c r="C1617" s="1" t="n">
        <v>45837</v>
      </c>
      <c r="D1617" t="inlineStr">
        <is>
          <t>BLEKINGE LÄN</t>
        </is>
      </c>
      <c r="E1617" t="inlineStr">
        <is>
          <t>KARLSKRONA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21955-2025</t>
        </is>
      </c>
      <c r="B1618" s="1" t="n">
        <v>45784</v>
      </c>
      <c r="C1618" s="1" t="n">
        <v>45837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22262-2025</t>
        </is>
      </c>
      <c r="B1619" s="1" t="n">
        <v>45785</v>
      </c>
      <c r="C1619" s="1" t="n">
        <v>45837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22173-2025</t>
        </is>
      </c>
      <c r="B1620" s="1" t="n">
        <v>45785</v>
      </c>
      <c r="C1620" s="1" t="n">
        <v>45837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22261-2025</t>
        </is>
      </c>
      <c r="B1621" s="1" t="n">
        <v>45785</v>
      </c>
      <c r="C1621" s="1" t="n">
        <v>45837</v>
      </c>
      <c r="D1621" t="inlineStr">
        <is>
          <t>BLEKINGE LÄN</t>
        </is>
      </c>
      <c r="E1621" t="inlineStr">
        <is>
          <t>KARLSKRONA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45837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45837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45837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22682-2025</t>
        </is>
      </c>
      <c r="B1625" s="1" t="n">
        <v>45789</v>
      </c>
      <c r="C1625" s="1" t="n">
        <v>45837</v>
      </c>
      <c r="D1625" t="inlineStr">
        <is>
          <t>BLEKINGE LÄN</t>
        </is>
      </c>
      <c r="E1625" t="inlineStr">
        <is>
          <t>KARLSKRONA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22639-2025</t>
        </is>
      </c>
      <c r="B1626" s="1" t="n">
        <v>45789</v>
      </c>
      <c r="C1626" s="1" t="n">
        <v>45837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22798-2025</t>
        </is>
      </c>
      <c r="B1627" s="1" t="n">
        <v>45789</v>
      </c>
      <c r="C1627" s="1" t="n">
        <v>45837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22654-2025</t>
        </is>
      </c>
      <c r="B1628" s="1" t="n">
        <v>45789</v>
      </c>
      <c r="C1628" s="1" t="n">
        <v>45837</v>
      </c>
      <c r="D1628" t="inlineStr">
        <is>
          <t>BLEKINGE LÄN</t>
        </is>
      </c>
      <c r="E1628" t="inlineStr">
        <is>
          <t>KARLSKRONA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22869-2025</t>
        </is>
      </c>
      <c r="B1629" s="1" t="n">
        <v>45790</v>
      </c>
      <c r="C1629" s="1" t="n">
        <v>45837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23166-2025</t>
        </is>
      </c>
      <c r="B1630" s="1" t="n">
        <v>45791</v>
      </c>
      <c r="C1630" s="1" t="n">
        <v>45837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24030-2025</t>
        </is>
      </c>
      <c r="B1631" s="1" t="n">
        <v>45796</v>
      </c>
      <c r="C1631" s="1" t="n">
        <v>45837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23967-2025</t>
        </is>
      </c>
      <c r="B1632" s="1" t="n">
        <v>45796</v>
      </c>
      <c r="C1632" s="1" t="n">
        <v>45837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24267-2025</t>
        </is>
      </c>
      <c r="B1633" s="1" t="n">
        <v>45797</v>
      </c>
      <c r="C1633" s="1" t="n">
        <v>45837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24270-2025</t>
        </is>
      </c>
      <c r="B1634" s="1" t="n">
        <v>45797</v>
      </c>
      <c r="C1634" s="1" t="n">
        <v>45837</v>
      </c>
      <c r="D1634" t="inlineStr">
        <is>
          <t>BLEKINGE LÄN</t>
        </is>
      </c>
      <c r="E1634" t="inlineStr">
        <is>
          <t>KARLSKRONA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24269-2025</t>
        </is>
      </c>
      <c r="B1635" s="1" t="n">
        <v>45797</v>
      </c>
      <c r="C1635" s="1" t="n">
        <v>45837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25015-2025</t>
        </is>
      </c>
      <c r="B1636" s="1" t="n">
        <v>45799</v>
      </c>
      <c r="C1636" s="1" t="n">
        <v>45837</v>
      </c>
      <c r="D1636" t="inlineStr">
        <is>
          <t>BLEKINGE LÄN</t>
        </is>
      </c>
      <c r="E1636" t="inlineStr">
        <is>
          <t>KARLSKRONA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26602-2025</t>
        </is>
      </c>
      <c r="B1637" s="1" t="n">
        <v>45809</v>
      </c>
      <c r="C1637" s="1" t="n">
        <v>45837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27375-2025</t>
        </is>
      </c>
      <c r="B1638" s="1" t="n">
        <v>45812</v>
      </c>
      <c r="C1638" s="1" t="n">
        <v>45837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27378-2025</t>
        </is>
      </c>
      <c r="B1639" s="1" t="n">
        <v>45812</v>
      </c>
      <c r="C1639" s="1" t="n">
        <v>45837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28031-2025</t>
        </is>
      </c>
      <c r="B1640" s="1" t="n">
        <v>45817</v>
      </c>
      <c r="C1640" s="1" t="n">
        <v>45837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29106-2025</t>
        </is>
      </c>
      <c r="B1641" s="1" t="n">
        <v>45821</v>
      </c>
      <c r="C1641" s="1" t="n">
        <v>45837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29938-2025</t>
        </is>
      </c>
      <c r="B1642" s="1" t="n">
        <v>45826</v>
      </c>
      <c r="C1642" s="1" t="n">
        <v>45837</v>
      </c>
      <c r="D1642" t="inlineStr">
        <is>
          <t>BLEKINGE LÄN</t>
        </is>
      </c>
      <c r="E1642" t="inlineStr">
        <is>
          <t>KARLSKRONA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29935-2025</t>
        </is>
      </c>
      <c r="B1643" s="1" t="n">
        <v>45826</v>
      </c>
      <c r="C1643" s="1" t="n">
        <v>45837</v>
      </c>
      <c r="D1643" t="inlineStr">
        <is>
          <t>BLEKINGE LÄN</t>
        </is>
      </c>
      <c r="E1643" t="inlineStr">
        <is>
          <t>KARLSKRONA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29977-2025</t>
        </is>
      </c>
      <c r="B1644" s="1" t="n">
        <v>45826</v>
      </c>
      <c r="C1644" s="1" t="n">
        <v>45837</v>
      </c>
      <c r="D1644" t="inlineStr">
        <is>
          <t>BLEKINGE LÄN</t>
        </is>
      </c>
      <c r="E1644" t="inlineStr">
        <is>
          <t>KARLSKRONA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30275-2025</t>
        </is>
      </c>
      <c r="B1645" s="1" t="n">
        <v>45827</v>
      </c>
      <c r="C1645" s="1" t="n">
        <v>45837</v>
      </c>
      <c r="D1645" t="inlineStr">
        <is>
          <t>BLEKINGE LÄN</t>
        </is>
      </c>
      <c r="E1645" t="inlineStr">
        <is>
          <t>KARLSKRONA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30249-2025</t>
        </is>
      </c>
      <c r="B1646" s="1" t="n">
        <v>45827</v>
      </c>
      <c r="C1646" s="1" t="n">
        <v>45837</v>
      </c>
      <c r="D1646" t="inlineStr">
        <is>
          <t>BLEKINGE LÄN</t>
        </is>
      </c>
      <c r="E1646" t="inlineStr">
        <is>
          <t>KARLSKRONA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30252-2025</t>
        </is>
      </c>
      <c r="B1647" s="1" t="n">
        <v>45827</v>
      </c>
      <c r="C1647" s="1" t="n">
        <v>45837</v>
      </c>
      <c r="D1647" t="inlineStr">
        <is>
          <t>BLEKINGE LÄN</t>
        </is>
      </c>
      <c r="E1647" t="inlineStr">
        <is>
          <t>KARLSKRONA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30271-2025</t>
        </is>
      </c>
      <c r="B1648" s="1" t="n">
        <v>45827</v>
      </c>
      <c r="C1648" s="1" t="n">
        <v>45837</v>
      </c>
      <c r="D1648" t="inlineStr">
        <is>
          <t>BLEKINGE LÄN</t>
        </is>
      </c>
      <c r="E1648" t="inlineStr">
        <is>
          <t>KARLSKRONA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30246-2025</t>
        </is>
      </c>
      <c r="B1649" s="1" t="n">
        <v>45827</v>
      </c>
      <c r="C1649" s="1" t="n">
        <v>45837</v>
      </c>
      <c r="D1649" t="inlineStr">
        <is>
          <t>BLEKINGE LÄN</t>
        </is>
      </c>
      <c r="E1649" t="inlineStr">
        <is>
          <t>KARLSKRONA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30247-2025</t>
        </is>
      </c>
      <c r="B1650" s="1" t="n">
        <v>45827</v>
      </c>
      <c r="C1650" s="1" t="n">
        <v>45837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31076-2025</t>
        </is>
      </c>
      <c r="B1651" s="1" t="n">
        <v>45832</v>
      </c>
      <c r="C1651" s="1" t="n">
        <v>45837</v>
      </c>
      <c r="D1651" t="inlineStr">
        <is>
          <t>BLEKINGE LÄN</t>
        </is>
      </c>
      <c r="E1651" t="inlineStr">
        <is>
          <t>KARLSKRONA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31244-2025</t>
        </is>
      </c>
      <c r="B1652" s="1" t="n">
        <v>45832</v>
      </c>
      <c r="C1652" s="1" t="n">
        <v>45837</v>
      </c>
      <c r="D1652" t="inlineStr">
        <is>
          <t>BLEKINGE LÄN</t>
        </is>
      </c>
      <c r="E1652" t="inlineStr">
        <is>
          <t>KARLSKRONA</t>
        </is>
      </c>
      <c r="G1652" t="n">
        <v>5.6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31084-2025</t>
        </is>
      </c>
      <c r="B1653" s="1" t="n">
        <v>45832</v>
      </c>
      <c r="C1653" s="1" t="n">
        <v>45837</v>
      </c>
      <c r="D1653" t="inlineStr">
        <is>
          <t>BLEKINGE LÄN</t>
        </is>
      </c>
      <c r="E1653" t="inlineStr">
        <is>
          <t>KARLSKRONA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30955-2025</t>
        </is>
      </c>
      <c r="B1654" s="1" t="n">
        <v>45832</v>
      </c>
      <c r="C1654" s="1" t="n">
        <v>45837</v>
      </c>
      <c r="D1654" t="inlineStr">
        <is>
          <t>BLEKINGE LÄN</t>
        </is>
      </c>
      <c r="E1654" t="inlineStr">
        <is>
          <t>KARLSKRONA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>
      <c r="A1655" t="inlineStr">
        <is>
          <t>A 32215-2025</t>
        </is>
      </c>
      <c r="B1655" s="1" t="n">
        <v>45835</v>
      </c>
      <c r="C1655" s="1" t="n">
        <v>45837</v>
      </c>
      <c r="D1655" t="inlineStr">
        <is>
          <t>BLEKINGE LÄN</t>
        </is>
      </c>
      <c r="E1655" t="inlineStr">
        <is>
          <t>KARLSKRONA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2025-06-29T19:18:34Z</dcterms:created>
  <dcterms:modified xmlns:dcterms="http://purl.org/dc/terms/" xmlns:xsi="http://www.w3.org/2001/XMLSchema-instance" xsi:type="dcterms:W3CDTF">2025-06-29T19:18:36Z</dcterms:modified>
</cp:coreProperties>
</file>