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46299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46299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46299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46299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46299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46299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46299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46299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46299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46299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46299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46299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46299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46299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46299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46299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46299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46299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46299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46299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46299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46299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46299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46299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46299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46299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46299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46299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46299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46299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46299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16465-2026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46299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HYPERLINK("https://klasma.github.io/Logging_1080/artfynd/A 16465-2026 artfynd.xlsx", "A 16465-2026")</f>
        <v/>
      </c>
      <c r="X44">
        <f>HYPERLINK("https://klasma.github.io/Logging_1080/kartor/A 16465-2026 karta.png", "A 16465-2026")</f>
        <v/>
      </c>
      <c r="Y44">
        <f>HYPERLINK("https://klasma.github.io/Logging_1080/kartor_geotiff/A 16465-2026 georefererad karta.tif", "A 16465-2026")</f>
        <v/>
      </c>
      <c r="AA44">
        <f>HYPERLINK("https://klasma.github.io/Logging_1080/klagomål/A 16465-2026 FSC-klagomål.docx", "A 16465-2026")</f>
        <v/>
      </c>
      <c r="AB44">
        <f>HYPERLINK("https://klasma.github.io/Logging_1080/klagomålsmail/A 16465-2026 FSC-klagomål mail.docx", "A 16465-2026")</f>
        <v/>
      </c>
      <c r="AC44">
        <f>HYPERLINK("https://klasma.github.io/Logging_1080/tillsyn/A 16465-2026 tillsynsbegäran.docx", "A 16465-2026")</f>
        <v/>
      </c>
      <c r="AD44">
        <f>HYPERLINK("https://klasma.github.io/Logging_1080/tillsynsmail/A 16465-2026 tillsynsbegäran mail.docx", "A 16465-2026")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46299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46299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9378-2026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46299</v>
      </c>
      <c r="F47" t="inlineStr">
        <is>
          <t>BLEKINGE LÄN</t>
        </is>
      </c>
      <c r="G47" t="inlineStr">
        <is>
          <t>KARLSKRONA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Hårklomossa</t>
        </is>
      </c>
      <c r="W47">
        <f>HYPERLINK("https://klasma.github.io/Logging_1080/artfynd/A 9378-2026 artfynd.xlsx", "A 9378-2026")</f>
        <v/>
      </c>
      <c r="X47">
        <f>HYPERLINK("https://klasma.github.io/Logging_1080/kartor/A 9378-2026 karta.png", "A 9378-2026")</f>
        <v/>
      </c>
      <c r="Y47">
        <f>HYPERLINK("https://klasma.github.io/Logging_1080/kartor_geotiff/A 9378-2026 georefererad karta.tif", "A 9378-2026")</f>
        <v/>
      </c>
      <c r="AA47">
        <f>HYPERLINK("https://klasma.github.io/Logging_1080/klagomål/A 9378-2026 FSC-klagomål.docx", "A 9378-2026")</f>
        <v/>
      </c>
      <c r="AB47">
        <f>HYPERLINK("https://klasma.github.io/Logging_1080/klagomålsmail/A 9378-2026 FSC-klagomål mail.docx", "A 9378-2026")</f>
        <v/>
      </c>
      <c r="AC47">
        <f>HYPERLINK("https://klasma.github.io/Logging_1080/tillsyn/A 9378-2026 tillsynsbegäran.docx", "A 9378-2026")</f>
        <v/>
      </c>
      <c r="AD47">
        <f>HYPERLINK("https://klasma.github.io/Logging_1080/tillsynsmail/A 9378-2026 tillsynsbegäran mail.docx", "A 9378-2026")</f>
        <v/>
      </c>
    </row>
    <row r="48" ht="15" customHeight="1">
      <c r="A48" t="inlineStr">
        <is>
          <t>A 18052-2026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46125</v>
      </c>
      <c r="E48" s="1" t="n">
        <v>46299</v>
      </c>
      <c r="F48" t="inlineStr">
        <is>
          <t>BLEKINGE LÄN</t>
        </is>
      </c>
      <c r="G48" t="inlineStr">
        <is>
          <t>KARLSKRONA</t>
        </is>
      </c>
      <c r="I48" t="n">
        <v>4.5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18052-2026 artfynd.xlsx", "A 18052-2026")</f>
        <v/>
      </c>
      <c r="X48">
        <f>HYPERLINK("https://klasma.github.io/Logging_1080/kartor/A 18052-2026 karta.png", "A 18052-2026")</f>
        <v/>
      </c>
      <c r="Y48">
        <f>HYPERLINK("https://klasma.github.io/Logging_1080/kartor_geotiff/A 18052-2026 georefererad karta.tif", "A 18052-2026")</f>
        <v/>
      </c>
      <c r="AA48">
        <f>HYPERLINK("https://klasma.github.io/Logging_1080/klagomål/A 18052-2026 FSC-klagomål.docx", "A 18052-2026")</f>
        <v/>
      </c>
      <c r="AB48">
        <f>HYPERLINK("https://klasma.github.io/Logging_1080/klagomålsmail/A 18052-2026 FSC-klagomål mail.docx", "A 18052-2026")</f>
        <v/>
      </c>
      <c r="AC48">
        <f>HYPERLINK("https://klasma.github.io/Logging_1080/tillsyn/A 18052-2026 tillsynsbegäran.docx", "A 18052-2026")</f>
        <v/>
      </c>
      <c r="AD48">
        <f>HYPERLINK("https://klasma.github.io/Logging_1080/tillsynsmail/A 18052-2026 tillsynsbegäran mail.docx", "A 18052-2026")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46299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46299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34609-2025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46299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34609-2025 artfynd.xlsx", "A 34609-2025")</f>
        <v/>
      </c>
      <c r="X51">
        <f>HYPERLINK("https://klasma.github.io/Logging_1080/kartor/A 34609-2025 karta.png", "A 34609-2025")</f>
        <v/>
      </c>
      <c r="Y51">
        <f>HYPERLINK("https://klasma.github.io/Logging_1080/kartor_geotiff/A 34609-2025 georefererad karta.tif", "A 34609-2025")</f>
        <v/>
      </c>
      <c r="AA51">
        <f>HYPERLINK("https://klasma.github.io/Logging_1080/klagomål/A 34609-2025 FSC-klagomål.docx", "A 34609-2025")</f>
        <v/>
      </c>
      <c r="AB51">
        <f>HYPERLINK("https://klasma.github.io/Logging_1080/klagomålsmail/A 34609-2025 FSC-klagomål mail.docx", "A 34609-2025")</f>
        <v/>
      </c>
      <c r="AC51">
        <f>HYPERLINK("https://klasma.github.io/Logging_1080/tillsyn/A 34609-2025 tillsynsbegäran.docx", "A 34609-2025")</f>
        <v/>
      </c>
      <c r="AD51">
        <f>HYPERLINK("https://klasma.github.io/Logging_1080/tillsynsmail/A 34609-2025 tillsynsbegäran mail.docx", "A 34609-2025")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46299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14345-2023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46299</v>
      </c>
      <c r="F53" t="inlineStr">
        <is>
          <t>BLEKINGE LÄN</t>
        </is>
      </c>
      <c r="G53" t="inlineStr">
        <is>
          <t>KARLSKRONA</t>
        </is>
      </c>
      <c r="I53" t="n">
        <v>4.4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Kavelhirs</t>
        </is>
      </c>
      <c r="W53">
        <f>HYPERLINK("https://klasma.github.io/Logging_1080/artfynd/A 14345-2023 artfynd.xlsx", "A 14345-2023")</f>
        <v/>
      </c>
      <c r="X53">
        <f>HYPERLINK("https://klasma.github.io/Logging_1080/kartor/A 14345-2023 karta.png", "A 14345-2023")</f>
        <v/>
      </c>
      <c r="Y53">
        <f>HYPERLINK("https://klasma.github.io/Logging_1080/kartor_geotiff/A 14345-2023 georefererad karta.tif", "A 14345-2023")</f>
        <v/>
      </c>
      <c r="AA53">
        <f>HYPERLINK("https://klasma.github.io/Logging_1080/klagomål/A 14345-2023 FSC-klagomål.docx", "A 14345-2023")</f>
        <v/>
      </c>
      <c r="AB53">
        <f>HYPERLINK("https://klasma.github.io/Logging_1080/klagomålsmail/A 14345-2023 FSC-klagomål mail.docx", "A 14345-2023")</f>
        <v/>
      </c>
      <c r="AC53">
        <f>HYPERLINK("https://klasma.github.io/Logging_1080/tillsyn/A 14345-2023 tillsynsbegäran.docx", "A 14345-2023")</f>
        <v/>
      </c>
      <c r="AD53">
        <f>HYPERLINK("https://klasma.github.io/Logging_1080/tillsynsmail/A 14345-2023 tillsynsbegäran mail.docx", "A 14345-2023")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46299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19600-2023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46299</v>
      </c>
      <c r="F55" t="inlineStr">
        <is>
          <t>BLEKINGE LÄN</t>
        </is>
      </c>
      <c r="G55" t="inlineStr">
        <is>
          <t>KARLSKRONA</t>
        </is>
      </c>
      <c r="I55" t="n">
        <v>4.1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Backsippa</t>
        </is>
      </c>
      <c r="W55">
        <f>HYPERLINK("https://klasma.github.io/Logging_1080/artfynd/A 19600-2023 artfynd.xlsx", "A 19600-2023")</f>
        <v/>
      </c>
      <c r="X55">
        <f>HYPERLINK("https://klasma.github.io/Logging_1080/kartor/A 19600-2023 karta.png", "A 19600-2023")</f>
        <v/>
      </c>
      <c r="Y55">
        <f>HYPERLINK("https://klasma.github.io/Logging_1080/kartor_geotiff/A 19600-2023 georefererad karta.tif", "A 19600-2023")</f>
        <v/>
      </c>
      <c r="AA55">
        <f>HYPERLINK("https://klasma.github.io/Logging_1080/klagomål/A 19600-2023 FSC-klagomål.docx", "A 19600-2023")</f>
        <v/>
      </c>
      <c r="AB55">
        <f>HYPERLINK("https://klasma.github.io/Logging_1080/klagomålsmail/A 19600-2023 FSC-klagomål mail.docx", "A 19600-2023")</f>
        <v/>
      </c>
      <c r="AC55">
        <f>HYPERLINK("https://klasma.github.io/Logging_1080/tillsyn/A 19600-2023 tillsynsbegäran.docx", "A 19600-2023")</f>
        <v/>
      </c>
      <c r="AD55">
        <f>HYPERLINK("https://klasma.github.io/Logging_1080/tillsynsmail/A 19600-2023 tillsynsbegäran mail.docx", "A 19600-2023")</f>
        <v/>
      </c>
    </row>
    <row r="56" ht="15" customHeight="1">
      <c r="A56" t="inlineStr">
        <is>
          <t>A 13533-2024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45387</v>
      </c>
      <c r="E56" s="1" t="n">
        <v>46299</v>
      </c>
      <c r="F56" t="inlineStr">
        <is>
          <t>BLEKINGE LÄN</t>
        </is>
      </c>
      <c r="G56" t="inlineStr">
        <is>
          <t>KARLSKRONA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Polabiskt björnbär</t>
        </is>
      </c>
      <c r="W56">
        <f>HYPERLINK("https://klasma.github.io/Logging_1080/artfynd/A 13533-2024 artfynd.xlsx", "A 13533-2024")</f>
        <v/>
      </c>
      <c r="X56">
        <f>HYPERLINK("https://klasma.github.io/Logging_1080/kartor/A 13533-2024 karta.png", "A 13533-2024")</f>
        <v/>
      </c>
      <c r="Y56">
        <f>HYPERLINK("https://klasma.github.io/Logging_1080/kartor_geotiff/A 13533-2024 georefererad karta.tif", "A 13533-2024")</f>
        <v/>
      </c>
      <c r="AA56">
        <f>HYPERLINK("https://klasma.github.io/Logging_1080/klagomål/A 13533-2024 FSC-klagomål.docx", "A 13533-2024")</f>
        <v/>
      </c>
      <c r="AB56">
        <f>HYPERLINK("https://klasma.github.io/Logging_1080/klagomålsmail/A 13533-2024 FSC-klagomål mail.docx", "A 13533-2024")</f>
        <v/>
      </c>
      <c r="AC56">
        <f>HYPERLINK("https://klasma.github.io/Logging_1080/tillsyn/A 13533-2024 tillsynsbegäran.docx", "A 13533-2024")</f>
        <v/>
      </c>
      <c r="AD56">
        <f>HYPERLINK("https://klasma.github.io/Logging_1080/tillsynsmail/A 13533-2024 tillsynsbegäran mail.docx", "A 13533-2024")</f>
        <v/>
      </c>
    </row>
    <row r="57" ht="15" customHeight="1">
      <c r="A57" t="inlineStr">
        <is>
          <t>A 9033-2026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46069</v>
      </c>
      <c r="E57" s="1" t="n">
        <v>46299</v>
      </c>
      <c r="F57" t="inlineStr">
        <is>
          <t>BLEKINGE LÄN</t>
        </is>
      </c>
      <c r="G57" t="inlineStr">
        <is>
          <t>KARLSKRONA</t>
        </is>
      </c>
      <c r="I57" t="n">
        <v>0.7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9033-2026 artfynd.xlsx", "A 9033-2026")</f>
        <v/>
      </c>
      <c r="X57">
        <f>HYPERLINK("https://klasma.github.io/Logging_1080/kartor/A 9033-2026 karta.png", "A 9033-2026")</f>
        <v/>
      </c>
      <c r="Y57">
        <f>HYPERLINK("https://klasma.github.io/Logging_1080/kartor_geotiff/A 9033-2026 georefererad karta.tif", "A 9033-2026")</f>
        <v/>
      </c>
      <c r="AA57">
        <f>HYPERLINK("https://klasma.github.io/Logging_1080/klagomål/A 9033-2026 FSC-klagomål.docx", "A 9033-2026")</f>
        <v/>
      </c>
      <c r="AB57">
        <f>HYPERLINK("https://klasma.github.io/Logging_1080/klagomålsmail/A 9033-2026 FSC-klagomål mail.docx", "A 9033-2026")</f>
        <v/>
      </c>
      <c r="AC57">
        <f>HYPERLINK("https://klasma.github.io/Logging_1080/tillsyn/A 9033-2026 tillsynsbegäran.docx", "A 9033-2026")</f>
        <v/>
      </c>
      <c r="AD57">
        <f>HYPERLINK("https://klasma.github.io/Logging_1080/tillsynsmail/A 9033-2026 tillsynsbegäran mail.docx", "A 9033-2026")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46299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Hasselsnok</t>
        </is>
      </c>
      <c r="W58">
        <f>HYPERLINK("https://klasma.github.io/Logging_1080/artfynd/A 30181-2023 artfynd.xlsx", "A 30181-2023")</f>
        <v/>
      </c>
      <c r="X58">
        <f>HYPERLINK("https://klasma.github.io/Logging_1080/kartor/A 30181-2023 karta.png", "A 30181-2023")</f>
        <v/>
      </c>
      <c r="Y58">
        <f>HYPERLINK("https://klasma.github.io/Logging_1080/kartor_geotiff/A 30181-2023 georefererad karta.tif", "A 30181-2023")</f>
        <v/>
      </c>
      <c r="AA58">
        <f>HYPERLINK("https://klasma.github.io/Logging_1080/klagomål/A 30181-2023 FSC-klagomål.docx", "A 30181-2023")</f>
        <v/>
      </c>
      <c r="AB58">
        <f>HYPERLINK("https://klasma.github.io/Logging_1080/klagomålsmail/A 30181-2023 FSC-klagomål mail.docx", "A 30181-2023")</f>
        <v/>
      </c>
      <c r="AC58">
        <f>HYPERLINK("https://klasma.github.io/Logging_1080/tillsyn/A 30181-2023 tillsynsbegäran.docx", "A 30181-2023")</f>
        <v/>
      </c>
      <c r="AD58">
        <f>HYPERLINK("https://klasma.github.io/Logging_1080/tillsynsmail/A 30181-2023 tillsynsbegäran mail.docx", "A 30181-2023")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46299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46299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38515-2026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46299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Rävticka</t>
        </is>
      </c>
      <c r="W61">
        <f>HYPERLINK("https://klasma.github.io/Logging_1080/artfynd/A 38515-2026 artfynd.xlsx", "A 38515-2026")</f>
        <v/>
      </c>
      <c r="X61">
        <f>HYPERLINK("https://klasma.github.io/Logging_1080/kartor/A 38515-2026 karta.png", "A 38515-2026")</f>
        <v/>
      </c>
      <c r="Y61">
        <f>HYPERLINK("https://klasma.github.io/Logging_1080/kartor_geotiff/A 38515-2026 georefererad karta.tif", "A 38515-2026")</f>
        <v/>
      </c>
      <c r="AA61">
        <f>HYPERLINK("https://klasma.github.io/Logging_1080/klagomål/A 38515-2026 FSC-klagomål.docx", "A 38515-2026")</f>
        <v/>
      </c>
      <c r="AB61">
        <f>HYPERLINK("https://klasma.github.io/Logging_1080/klagomålsmail/A 38515-2026 FSC-klagomål mail.docx", "A 38515-2026")</f>
        <v/>
      </c>
      <c r="AC61">
        <f>HYPERLINK("https://klasma.github.io/Logging_1080/tillsyn/A 38515-2026 tillsynsbegäran.docx", "A 38515-2026")</f>
        <v/>
      </c>
      <c r="AD61">
        <f>HYPERLINK("https://klasma.github.io/Logging_1080/tillsynsmail/A 38515-2026 tillsynsbegäran mail.docx", "A 38515-2026")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46299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46299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46299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46299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46299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46299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46299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46299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46299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46299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46299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46299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46299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46299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46299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46299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46299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46299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46299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46299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46299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46299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46299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46299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46299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46299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46299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46299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46299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46299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46299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46299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46299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46299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46299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46299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46299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46299</v>
      </c>
      <c r="F99" t="inlineStr">
        <is>
          <t>BLEKINGE LÄN</t>
        </is>
      </c>
      <c r="G99" t="inlineStr">
        <is>
          <t>KARLSKRONA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46299</v>
      </c>
      <c r="F100" t="inlineStr">
        <is>
          <t>BLEKINGE LÄN</t>
        </is>
      </c>
      <c r="G100" t="inlineStr">
        <is>
          <t>KARLSKRONA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46299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46299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46299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46299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46299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46299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46299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46299</v>
      </c>
      <c r="F108" t="inlineStr">
        <is>
          <t>BLEKINGE LÄN</t>
        </is>
      </c>
      <c r="G108" t="inlineStr">
        <is>
          <t>KARLSKRONA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46299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46299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46299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46299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46299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46299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46299</v>
      </c>
      <c r="F115" t="inlineStr">
        <is>
          <t>BLEKINGE LÄN</t>
        </is>
      </c>
      <c r="G115" t="inlineStr">
        <is>
          <t>KARLSKRONA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46299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46299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46299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46299</v>
      </c>
      <c r="F119" t="inlineStr">
        <is>
          <t>BLEKINGE LÄN</t>
        </is>
      </c>
      <c r="G119" t="inlineStr">
        <is>
          <t>KARLSKRONA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46299</v>
      </c>
      <c r="F120" t="inlineStr">
        <is>
          <t>BLEKINGE LÄN</t>
        </is>
      </c>
      <c r="G120" t="inlineStr">
        <is>
          <t>KARLSKRONA</t>
        </is>
      </c>
      <c r="H120" t="inlineStr">
        <is>
          <t>Kommuner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46299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44621</v>
      </c>
      <c r="E122" s="1" t="n">
        <v>46299</v>
      </c>
      <c r="F122" t="inlineStr">
        <is>
          <t>BLEKINGE LÄN</t>
        </is>
      </c>
      <c r="G122" t="inlineStr">
        <is>
          <t>KARLSKRONA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46299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46299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46299</v>
      </c>
      <c r="F125" t="inlineStr">
        <is>
          <t>BLEKINGE LÄN</t>
        </is>
      </c>
      <c r="G125" t="inlineStr">
        <is>
          <t>KARLSKRONA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46299</v>
      </c>
      <c r="F126" t="inlineStr">
        <is>
          <t>BLEKINGE LÄN</t>
        </is>
      </c>
      <c r="G126" t="inlineStr">
        <is>
          <t>KARLSKRONA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44837</v>
      </c>
      <c r="E127" s="1" t="n">
        <v>46299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46299</v>
      </c>
      <c r="F128" t="inlineStr">
        <is>
          <t>BLEKINGE LÄN</t>
        </is>
      </c>
      <c r="G128" t="inlineStr">
        <is>
          <t>KARLSKRONA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46299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46299</v>
      </c>
      <c r="F130" t="inlineStr">
        <is>
          <t>BLEKINGE LÄN</t>
        </is>
      </c>
      <c r="G130" t="inlineStr">
        <is>
          <t>KARLSKRONA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46299</v>
      </c>
      <c r="F131" t="inlineStr">
        <is>
          <t>BLEKINGE LÄN</t>
        </is>
      </c>
      <c r="G131" t="inlineStr">
        <is>
          <t>KARLSKRONA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18656-2022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44687</v>
      </c>
      <c r="E132" s="1" t="n">
        <v>46299</v>
      </c>
      <c r="F132" t="inlineStr">
        <is>
          <t>BLEKINGE LÄN</t>
        </is>
      </c>
      <c r="G132" t="inlineStr">
        <is>
          <t>KARLSKRONA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46299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44592</v>
      </c>
      <c r="E134" s="1" t="n">
        <v>46299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46299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46299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46299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46299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46299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46299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46299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46299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46299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46299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46299</v>
      </c>
      <c r="F145" t="inlineStr">
        <is>
          <t>BLEKINGE LÄN</t>
        </is>
      </c>
      <c r="G145" t="inlineStr">
        <is>
          <t>KARLSKRONA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46299</v>
      </c>
      <c r="F146" t="inlineStr">
        <is>
          <t>BLEKINGE LÄN</t>
        </is>
      </c>
      <c r="G146" t="inlineStr">
        <is>
          <t>KARLSKRONA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46299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46299</v>
      </c>
      <c r="F148" t="inlineStr">
        <is>
          <t>BLEKINGE LÄN</t>
        </is>
      </c>
      <c r="G148" t="inlineStr">
        <is>
          <t>KARLSKRONA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46299</v>
      </c>
      <c r="F149" t="inlineStr">
        <is>
          <t>BLEKINGE LÄN</t>
        </is>
      </c>
      <c r="G149" t="inlineStr">
        <is>
          <t>KARLSKRONA</t>
        </is>
      </c>
      <c r="I149" t="n">
        <v>10.5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46299</v>
      </c>
      <c r="F150" t="inlineStr">
        <is>
          <t>BLEKINGE LÄN</t>
        </is>
      </c>
      <c r="G150" t="inlineStr">
        <is>
          <t>KARLSKRONA</t>
        </is>
      </c>
      <c r="I150" t="n">
        <v>16.8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46299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46299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46299</v>
      </c>
      <c r="F153" t="inlineStr">
        <is>
          <t>BLEKINGE LÄN</t>
        </is>
      </c>
      <c r="G153" t="inlineStr">
        <is>
          <t>KARLSKRONA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46299</v>
      </c>
      <c r="F154" t="inlineStr">
        <is>
          <t>BLEKINGE LÄN</t>
        </is>
      </c>
      <c r="G154" t="inlineStr">
        <is>
          <t>KARLSKRONA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46299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46299</v>
      </c>
      <c r="F156" t="inlineStr">
        <is>
          <t>BLEKINGE LÄN</t>
        </is>
      </c>
      <c r="G156" t="inlineStr">
        <is>
          <t>KARLSKRONA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46299</v>
      </c>
      <c r="F157" t="inlineStr">
        <is>
          <t>BLEKINGE LÄN</t>
        </is>
      </c>
      <c r="G157" t="inlineStr">
        <is>
          <t>KARLSKRONA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46299</v>
      </c>
      <c r="F158" t="inlineStr">
        <is>
          <t>BLEKINGE LÄN</t>
        </is>
      </c>
      <c r="G158" t="inlineStr">
        <is>
          <t>KARLSKRONA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46299</v>
      </c>
      <c r="F159" t="inlineStr">
        <is>
          <t>BLEKINGE LÄN</t>
        </is>
      </c>
      <c r="G159" t="inlineStr">
        <is>
          <t>KARLSKRONA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46299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46299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45257</v>
      </c>
      <c r="E162" s="1" t="n">
        <v>46299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46299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45458</v>
      </c>
      <c r="E164" s="1" t="n">
        <v>46299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45051</v>
      </c>
      <c r="E165" s="1" t="n">
        <v>46299</v>
      </c>
      <c r="F165" t="inlineStr">
        <is>
          <t>BLEKINGE LÄN</t>
        </is>
      </c>
      <c r="G165" t="inlineStr">
        <is>
          <t>KARLSKRONA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46299</v>
      </c>
      <c r="F166" t="inlineStr">
        <is>
          <t>BLEKINGE LÄN</t>
        </is>
      </c>
      <c r="G166" t="inlineStr">
        <is>
          <t>KARLSKRONA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46299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46299</v>
      </c>
      <c r="F168" t="inlineStr">
        <is>
          <t>BLEKINGE LÄN</t>
        </is>
      </c>
      <c r="G168" t="inlineStr">
        <is>
          <t>KARLSKRONA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46299</v>
      </c>
      <c r="F169" t="inlineStr">
        <is>
          <t>BLEKINGE LÄN</t>
        </is>
      </c>
      <c r="G169" t="inlineStr">
        <is>
          <t>KARLSKRONA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44491</v>
      </c>
      <c r="E170" s="1" t="n">
        <v>46299</v>
      </c>
      <c r="F170" t="inlineStr">
        <is>
          <t>BLEKINGE LÄN</t>
        </is>
      </c>
      <c r="G170" t="inlineStr">
        <is>
          <t>KARLSKRONA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46299</v>
      </c>
      <c r="F171" t="inlineStr">
        <is>
          <t>BLEKINGE LÄN</t>
        </is>
      </c>
      <c r="G171" t="inlineStr">
        <is>
          <t>KARLSKRONA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46299</v>
      </c>
      <c r="F172" t="inlineStr">
        <is>
          <t>BLEKINGE LÄN</t>
        </is>
      </c>
      <c r="G172" t="inlineStr">
        <is>
          <t>KARLSKRONA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46299</v>
      </c>
      <c r="F173" t="inlineStr">
        <is>
          <t>BLEKINGE LÄN</t>
        </is>
      </c>
      <c r="G173" t="inlineStr">
        <is>
          <t>KARLSKRONA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46299</v>
      </c>
      <c r="F174" t="inlineStr">
        <is>
          <t>BLEKINGE LÄN</t>
        </is>
      </c>
      <c r="G174" t="inlineStr">
        <is>
          <t>KARLSKRONA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46299</v>
      </c>
      <c r="F175" t="inlineStr">
        <is>
          <t>BLEKINGE LÄN</t>
        </is>
      </c>
      <c r="G175" t="inlineStr">
        <is>
          <t>KARLSKRONA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74237-2021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44553</v>
      </c>
      <c r="E176" s="1" t="n">
        <v>46299</v>
      </c>
      <c r="F176" t="inlineStr">
        <is>
          <t>BLEKINGE LÄN</t>
        </is>
      </c>
      <c r="G176" t="inlineStr">
        <is>
          <t>KARLSKRONA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46299</v>
      </c>
      <c r="F177" t="inlineStr">
        <is>
          <t>BLEKINGE LÄN</t>
        </is>
      </c>
      <c r="G177" t="inlineStr">
        <is>
          <t>KARLSKRONA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46299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46299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46299</v>
      </c>
      <c r="F180" t="inlineStr">
        <is>
          <t>BLEKINGE LÄN</t>
        </is>
      </c>
      <c r="G180" t="inlineStr">
        <is>
          <t>KARLSKRONA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46299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46299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46299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44692</v>
      </c>
      <c r="E184" s="1" t="n">
        <v>46299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46299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46299</v>
      </c>
      <c r="F186" t="inlineStr">
        <is>
          <t>BLEKINGE LÄN</t>
        </is>
      </c>
      <c r="G186" t="inlineStr">
        <is>
          <t>KARLSKRONA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46299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45785</v>
      </c>
      <c r="E188" s="1" t="n">
        <v>46299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46299</v>
      </c>
      <c r="F189" t="inlineStr">
        <is>
          <t>BLEKINGE LÄN</t>
        </is>
      </c>
      <c r="G189" t="inlineStr">
        <is>
          <t>KARLSKRONA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60538-2021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44496</v>
      </c>
      <c r="E190" s="1" t="n">
        <v>46299</v>
      </c>
      <c r="F190" t="inlineStr">
        <is>
          <t>BLEKINGE LÄN</t>
        </is>
      </c>
      <c r="G190" t="inlineStr">
        <is>
          <t>KARLSKRONA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45656</v>
      </c>
      <c r="E191" s="1" t="n">
        <v>46299</v>
      </c>
      <c r="F191" t="inlineStr">
        <is>
          <t>BLEKINGE LÄN</t>
        </is>
      </c>
      <c r="G191" t="inlineStr">
        <is>
          <t>KARLSKRONA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46299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46299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46299</v>
      </c>
      <c r="F194" t="inlineStr">
        <is>
          <t>BLEKINGE LÄN</t>
        </is>
      </c>
      <c r="G194" t="inlineStr">
        <is>
          <t>KARLSKRONA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45384</v>
      </c>
      <c r="E195" s="1" t="n">
        <v>46299</v>
      </c>
      <c r="F195" t="inlineStr">
        <is>
          <t>BLEKINGE LÄN</t>
        </is>
      </c>
      <c r="G195" t="inlineStr">
        <is>
          <t>KARLSKRONA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46299</v>
      </c>
      <c r="F196" t="inlineStr">
        <is>
          <t>BLEKINGE LÄN</t>
        </is>
      </c>
      <c r="G196" t="inlineStr">
        <is>
          <t>KARLSKRONA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46299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45020</v>
      </c>
      <c r="E198" s="1" t="n">
        <v>46299</v>
      </c>
      <c r="F198" t="inlineStr">
        <is>
          <t>BLEKINGE LÄN</t>
        </is>
      </c>
      <c r="G198" t="inlineStr">
        <is>
          <t>KARLSKRONA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44592</v>
      </c>
      <c r="E199" s="1" t="n">
        <v>46299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46299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46299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46299</v>
      </c>
      <c r="F202" t="inlineStr">
        <is>
          <t>BLEKINGE LÄN</t>
        </is>
      </c>
      <c r="G202" t="inlineStr">
        <is>
          <t>KARLSKRONA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9763-2022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44619</v>
      </c>
      <c r="E203" s="1" t="n">
        <v>46299</v>
      </c>
      <c r="F203" t="inlineStr">
        <is>
          <t>BLEKINGE LÄN</t>
        </is>
      </c>
      <c r="G203" t="inlineStr">
        <is>
          <t>KARLSKRONA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46299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46299</v>
      </c>
      <c r="F205" t="inlineStr">
        <is>
          <t>BLEKINGE LÄN</t>
        </is>
      </c>
      <c r="G205" t="inlineStr">
        <is>
          <t>KARLSKRONA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46299</v>
      </c>
      <c r="F206" t="inlineStr">
        <is>
          <t>BLEKINGE LÄN</t>
        </is>
      </c>
      <c r="G206" t="inlineStr">
        <is>
          <t>KARLSKRONA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46299</v>
      </c>
      <c r="F207" t="inlineStr">
        <is>
          <t>BLEKINGE LÄN</t>
        </is>
      </c>
      <c r="G207" t="inlineStr">
        <is>
          <t>KARLSKRONA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44691</v>
      </c>
      <c r="E208" s="1" t="n">
        <v>46299</v>
      </c>
      <c r="F208" t="inlineStr">
        <is>
          <t>BLEKINGE LÄN</t>
        </is>
      </c>
      <c r="G208" t="inlineStr">
        <is>
          <t>KARLSKRONA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46299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46299</v>
      </c>
      <c r="F210" t="inlineStr">
        <is>
          <t>BLEKINGE LÄN</t>
        </is>
      </c>
      <c r="G210" t="inlineStr">
        <is>
          <t>KARLSKRONA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46299</v>
      </c>
      <c r="F211" t="inlineStr">
        <is>
          <t>BLEKINGE LÄN</t>
        </is>
      </c>
      <c r="G211" t="inlineStr">
        <is>
          <t>KARLSKRONA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45483</v>
      </c>
      <c r="E212" s="1" t="n">
        <v>46299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46027</v>
      </c>
      <c r="E213" s="1" t="n">
        <v>46299</v>
      </c>
      <c r="F213" t="inlineStr">
        <is>
          <t>BLEKINGE LÄN</t>
        </is>
      </c>
      <c r="G213" t="inlineStr">
        <is>
          <t>KARLSKRONA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46299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44757</v>
      </c>
      <c r="E215" s="1" t="n">
        <v>46299</v>
      </c>
      <c r="F215" t="inlineStr">
        <is>
          <t>BLEKINGE LÄN</t>
        </is>
      </c>
      <c r="G215" t="inlineStr">
        <is>
          <t>KARLSKRONA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46299</v>
      </c>
      <c r="F216" t="inlineStr">
        <is>
          <t>BLEKINGE LÄN</t>
        </is>
      </c>
      <c r="G216" t="inlineStr">
        <is>
          <t>KARLSKRONA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46299</v>
      </c>
      <c r="F217" t="inlineStr">
        <is>
          <t>BLEKINGE LÄN</t>
        </is>
      </c>
      <c r="G217" t="inlineStr">
        <is>
          <t>KARLSKRONA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44851</v>
      </c>
      <c r="E218" s="1" t="n">
        <v>46299</v>
      </c>
      <c r="F218" t="inlineStr">
        <is>
          <t>BLEKINGE LÄN</t>
        </is>
      </c>
      <c r="G218" t="inlineStr">
        <is>
          <t>KARLSKRONA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46299</v>
      </c>
      <c r="F219" t="inlineStr">
        <is>
          <t>BLEKINGE LÄN</t>
        </is>
      </c>
      <c r="G219" t="inlineStr">
        <is>
          <t>KARLSKRONA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46299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46299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46299</v>
      </c>
      <c r="F222" t="inlineStr">
        <is>
          <t>BLEKINGE LÄN</t>
        </is>
      </c>
      <c r="G222" t="inlineStr">
        <is>
          <t>KARLSKRONA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46299</v>
      </c>
      <c r="F223" t="inlineStr">
        <is>
          <t>BLEKINGE LÄN</t>
        </is>
      </c>
      <c r="G223" t="inlineStr">
        <is>
          <t>KARLSKRONA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46299</v>
      </c>
      <c r="F224" t="inlineStr">
        <is>
          <t>BLEKINGE LÄN</t>
        </is>
      </c>
      <c r="G224" t="inlineStr">
        <is>
          <t>KARLSKRONA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46299</v>
      </c>
      <c r="F225" t="inlineStr">
        <is>
          <t>BLEKINGE LÄN</t>
        </is>
      </c>
      <c r="G225" t="inlineStr">
        <is>
          <t>KARLSKRONA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46299</v>
      </c>
      <c r="F226" t="inlineStr">
        <is>
          <t>BLEKINGE LÄN</t>
        </is>
      </c>
      <c r="G226" t="inlineStr">
        <is>
          <t>KARLSKRONA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45234</v>
      </c>
      <c r="E227" s="1" t="n">
        <v>46299</v>
      </c>
      <c r="F227" t="inlineStr">
        <is>
          <t>BLEKINGE LÄN</t>
        </is>
      </c>
      <c r="G227" t="inlineStr">
        <is>
          <t>KARLSKRONA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46299</v>
      </c>
      <c r="F228" t="inlineStr">
        <is>
          <t>BLEKINGE LÄN</t>
        </is>
      </c>
      <c r="G228" t="inlineStr">
        <is>
          <t>KARLSKRONA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46299</v>
      </c>
      <c r="F229" t="inlineStr">
        <is>
          <t>BLEKINGE LÄN</t>
        </is>
      </c>
      <c r="G229" t="inlineStr">
        <is>
          <t>KARLSKRONA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46299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46299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46299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46299</v>
      </c>
      <c r="F233" t="inlineStr">
        <is>
          <t>BLEKINGE LÄN</t>
        </is>
      </c>
      <c r="G233" t="inlineStr">
        <is>
          <t>KARLSKRONA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46299</v>
      </c>
      <c r="F234" t="inlineStr">
        <is>
          <t>BLEKINGE LÄN</t>
        </is>
      </c>
      <c r="G234" t="inlineStr">
        <is>
          <t>KARLSKRONA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46299</v>
      </c>
      <c r="F235" t="inlineStr">
        <is>
          <t>BLEKINGE LÄN</t>
        </is>
      </c>
      <c r="G235" t="inlineStr">
        <is>
          <t>KARLSKRONA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46299</v>
      </c>
      <c r="F236" t="inlineStr">
        <is>
          <t>BLEKINGE LÄN</t>
        </is>
      </c>
      <c r="G236" t="inlineStr">
        <is>
          <t>KARLSKRONA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45028</v>
      </c>
      <c r="E237" s="1" t="n">
        <v>46299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6737-2026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46055</v>
      </c>
      <c r="E238" s="1" t="n">
        <v>46299</v>
      </c>
      <c r="F238" t="inlineStr">
        <is>
          <t>BLEKINGE LÄN</t>
        </is>
      </c>
      <c r="G238" t="inlineStr">
        <is>
          <t>KARLSKRONA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46299</v>
      </c>
      <c r="F239" t="inlineStr">
        <is>
          <t>BLEKINGE LÄN</t>
        </is>
      </c>
      <c r="G239" t="inlineStr">
        <is>
          <t>KARLSKRONA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46299</v>
      </c>
      <c r="F240" t="inlineStr">
        <is>
          <t>BLEKINGE LÄN</t>
        </is>
      </c>
      <c r="G240" t="inlineStr">
        <is>
          <t>KARLSKRONA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46299</v>
      </c>
      <c r="F241" t="inlineStr">
        <is>
          <t>BLEKINGE LÄN</t>
        </is>
      </c>
      <c r="G241" t="inlineStr">
        <is>
          <t>KARLSKRONA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44988</v>
      </c>
      <c r="E242" s="1" t="n">
        <v>46299</v>
      </c>
      <c r="F242" t="inlineStr">
        <is>
          <t>BLEKINGE LÄN</t>
        </is>
      </c>
      <c r="G242" t="inlineStr">
        <is>
          <t>KARLSKRONA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44584</v>
      </c>
      <c r="E243" s="1" t="n">
        <v>46299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46299</v>
      </c>
      <c r="F244" t="inlineStr">
        <is>
          <t>BLEKINGE LÄN</t>
        </is>
      </c>
      <c r="G244" t="inlineStr">
        <is>
          <t>KARLSKRONA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46299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46299</v>
      </c>
      <c r="F246" t="inlineStr">
        <is>
          <t>BLEKINGE LÄN</t>
        </is>
      </c>
      <c r="G246" t="inlineStr">
        <is>
          <t>KARLSKRONA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46051</v>
      </c>
      <c r="E247" s="1" t="n">
        <v>46299</v>
      </c>
      <c r="F247" t="inlineStr">
        <is>
          <t>BLEKINGE LÄN</t>
        </is>
      </c>
      <c r="G247" t="inlineStr">
        <is>
          <t>KARLSKRONA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46299</v>
      </c>
      <c r="F248" t="inlineStr">
        <is>
          <t>BLEKINGE LÄN</t>
        </is>
      </c>
      <c r="G248" t="inlineStr">
        <is>
          <t>KARLSKRONA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46299</v>
      </c>
      <c r="F249" t="inlineStr">
        <is>
          <t>BLEKINGE LÄN</t>
        </is>
      </c>
      <c r="G249" t="inlineStr">
        <is>
          <t>KARLSKRONA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14511-2023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45012</v>
      </c>
      <c r="E250" s="1" t="n">
        <v>46299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46299</v>
      </c>
      <c r="F251" t="inlineStr">
        <is>
          <t>BLEKINGE LÄN</t>
        </is>
      </c>
      <c r="G251" t="inlineStr">
        <is>
          <t>KARLSKRONA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46299</v>
      </c>
      <c r="F252" t="inlineStr">
        <is>
          <t>BLEKINGE LÄN</t>
        </is>
      </c>
      <c r="G252" t="inlineStr">
        <is>
          <t>KARLSKRONA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46299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46299</v>
      </c>
      <c r="F254" t="inlineStr">
        <is>
          <t>BLEKINGE LÄN</t>
        </is>
      </c>
      <c r="G254" t="inlineStr">
        <is>
          <t>KARLSKRONA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46299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46299</v>
      </c>
      <c r="F256" t="inlineStr">
        <is>
          <t>BLEKINGE LÄN</t>
        </is>
      </c>
      <c r="G256" t="inlineStr">
        <is>
          <t>KARLSKRONA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46299</v>
      </c>
      <c r="F257" t="inlineStr">
        <is>
          <t>BLEKINGE LÄN</t>
        </is>
      </c>
      <c r="G257" t="inlineStr">
        <is>
          <t>KARLSKRONA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46299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46299</v>
      </c>
      <c r="F259" t="inlineStr">
        <is>
          <t>BLEKINGE LÄN</t>
        </is>
      </c>
      <c r="G259" t="inlineStr">
        <is>
          <t>KARLSKRONA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46299</v>
      </c>
      <c r="F260" t="inlineStr">
        <is>
          <t>BLEKINGE LÄN</t>
        </is>
      </c>
      <c r="G260" t="inlineStr">
        <is>
          <t>KARLSKRONA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46299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46299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46299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46299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44512</v>
      </c>
      <c r="E265" s="1" t="n">
        <v>46299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46299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21880-2024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45443</v>
      </c>
      <c r="E267" s="1" t="n">
        <v>46299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46299</v>
      </c>
      <c r="F268" t="inlineStr">
        <is>
          <t>BLEKINGE LÄN</t>
        </is>
      </c>
      <c r="G268" t="inlineStr">
        <is>
          <t>KARLSKRONA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46299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46299</v>
      </c>
      <c r="F270" t="inlineStr">
        <is>
          <t>BLEKINGE LÄN</t>
        </is>
      </c>
      <c r="G270" t="inlineStr">
        <is>
          <t>KARLSKRONA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44587</v>
      </c>
      <c r="E271" s="1" t="n">
        <v>46299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46299</v>
      </c>
      <c r="F272" t="inlineStr">
        <is>
          <t>BLEKINGE LÄN</t>
        </is>
      </c>
      <c r="G272" t="inlineStr">
        <is>
          <t>KARLSKRONA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46299</v>
      </c>
      <c r="F273" t="inlineStr">
        <is>
          <t>BLEKINGE LÄN</t>
        </is>
      </c>
      <c r="G273" t="inlineStr">
        <is>
          <t>KARLSKRONA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46299</v>
      </c>
      <c r="F274" t="inlineStr">
        <is>
          <t>BLEKINGE LÄN</t>
        </is>
      </c>
      <c r="G274" t="inlineStr">
        <is>
          <t>KARLSKRONA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46299</v>
      </c>
      <c r="F275" t="inlineStr">
        <is>
          <t>BLEKINGE LÄN</t>
        </is>
      </c>
      <c r="G275" t="inlineStr">
        <is>
          <t>KARLSKRONA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46299</v>
      </c>
      <c r="F276" t="inlineStr">
        <is>
          <t>BLEKINGE LÄN</t>
        </is>
      </c>
      <c r="G276" t="inlineStr">
        <is>
          <t>KARLSKRONA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46299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46299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46299</v>
      </c>
      <c r="F279" t="inlineStr">
        <is>
          <t>BLEKINGE LÄN</t>
        </is>
      </c>
      <c r="G279" t="inlineStr">
        <is>
          <t>KARLSKRONA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46299</v>
      </c>
      <c r="F280" t="inlineStr">
        <is>
          <t>BLEKINGE LÄN</t>
        </is>
      </c>
      <c r="G280" t="inlineStr">
        <is>
          <t>KARLSKRONA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46299</v>
      </c>
      <c r="F281" t="inlineStr">
        <is>
          <t>BLEKINGE LÄN</t>
        </is>
      </c>
      <c r="G281" t="inlineStr">
        <is>
          <t>KARLSKRONA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46299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46299</v>
      </c>
      <c r="F283" t="inlineStr">
        <is>
          <t>BLEKINGE LÄN</t>
        </is>
      </c>
      <c r="G283" t="inlineStr">
        <is>
          <t>KARLSKRONA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46299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46299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46299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46299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46299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46299</v>
      </c>
      <c r="F289" t="inlineStr">
        <is>
          <t>BLEKINGE LÄN</t>
        </is>
      </c>
      <c r="G289" t="inlineStr">
        <is>
          <t>KARLSKRONA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46299</v>
      </c>
      <c r="F290" t="inlineStr">
        <is>
          <t>BLEKINGE LÄN</t>
        </is>
      </c>
      <c r="G290" t="inlineStr">
        <is>
          <t>KARLSKRONA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46299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46299</v>
      </c>
      <c r="F292" t="inlineStr">
        <is>
          <t>BLEKINGE LÄN</t>
        </is>
      </c>
      <c r="G292" t="inlineStr">
        <is>
          <t>KARLSKRONA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46299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46299</v>
      </c>
      <c r="F294" t="inlineStr">
        <is>
          <t>BLEKINGE LÄN</t>
        </is>
      </c>
      <c r="G294" t="inlineStr">
        <is>
          <t>KARLSKRONA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46299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46299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46299</v>
      </c>
      <c r="F297" t="inlineStr">
        <is>
          <t>BLEKINGE LÄN</t>
        </is>
      </c>
      <c r="G297" t="inlineStr">
        <is>
          <t>KARLSKRONA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46299</v>
      </c>
      <c r="F298" t="inlineStr">
        <is>
          <t>BLEKINGE LÄN</t>
        </is>
      </c>
      <c r="G298" t="inlineStr">
        <is>
          <t>KARLSKRONA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46299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46299</v>
      </c>
      <c r="F300" t="inlineStr">
        <is>
          <t>BLEKINGE LÄN</t>
        </is>
      </c>
      <c r="G300" t="inlineStr">
        <is>
          <t>KARLSKRONA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46299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45697</v>
      </c>
      <c r="E302" s="1" t="n">
        <v>46299</v>
      </c>
      <c r="F302" t="inlineStr">
        <is>
          <t>BLEKINGE LÄN</t>
        </is>
      </c>
      <c r="G302" t="inlineStr">
        <is>
          <t>KARLSKRONA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53864-2025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45961</v>
      </c>
      <c r="E303" s="1" t="n">
        <v>46299</v>
      </c>
      <c r="F303" t="inlineStr">
        <is>
          <t>BLEKINGE LÄN</t>
        </is>
      </c>
      <c r="G303" t="inlineStr">
        <is>
          <t>KARLSKRONA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46299</v>
      </c>
      <c r="F304" t="inlineStr">
        <is>
          <t>BLEKINGE LÄN</t>
        </is>
      </c>
      <c r="G304" t="inlineStr">
        <is>
          <t>KARLSKRONA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8094-2022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44609</v>
      </c>
      <c r="E305" s="1" t="n">
        <v>46299</v>
      </c>
      <c r="F305" t="inlineStr">
        <is>
          <t>BLEKINGE LÄN</t>
        </is>
      </c>
      <c r="G305" t="inlineStr">
        <is>
          <t>KARLSKRONA</t>
        </is>
      </c>
      <c r="H305" t="inlineStr">
        <is>
          <t>Kommuner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44609</v>
      </c>
      <c r="E306" s="1" t="n">
        <v>46299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41204-2022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44825</v>
      </c>
      <c r="E307" s="1" t="n">
        <v>46299</v>
      </c>
      <c r="F307" t="inlineStr">
        <is>
          <t>BLEKINGE LÄN</t>
        </is>
      </c>
      <c r="G307" t="inlineStr">
        <is>
          <t>KARLSKRONA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46299</v>
      </c>
      <c r="F308" t="inlineStr">
        <is>
          <t>BLEKINGE LÄN</t>
        </is>
      </c>
      <c r="G308" t="inlineStr">
        <is>
          <t>KARLSKRONA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46299</v>
      </c>
      <c r="F309" t="inlineStr">
        <is>
          <t>BLEKINGE LÄN</t>
        </is>
      </c>
      <c r="G309" t="inlineStr">
        <is>
          <t>KARLSKRONA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53850-2025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45961</v>
      </c>
      <c r="E310" s="1" t="n">
        <v>46299</v>
      </c>
      <c r="F310" t="inlineStr">
        <is>
          <t>BLEKINGE LÄN</t>
        </is>
      </c>
      <c r="G310" t="inlineStr">
        <is>
          <t>KARLSKRONA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44586</v>
      </c>
      <c r="E311" s="1" t="n">
        <v>46299</v>
      </c>
      <c r="F311" t="inlineStr">
        <is>
          <t>BLEKINGE LÄN</t>
        </is>
      </c>
      <c r="G311" t="inlineStr">
        <is>
          <t>KARLSKRONA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53858-2025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46299</v>
      </c>
      <c r="F312" t="inlineStr">
        <is>
          <t>BLEKINGE LÄN</t>
        </is>
      </c>
      <c r="G312" t="inlineStr">
        <is>
          <t>KARLSKRONA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44820</v>
      </c>
      <c r="E313" s="1" t="n">
        <v>46299</v>
      </c>
      <c r="F313" t="inlineStr">
        <is>
          <t>BLEKINGE LÄN</t>
        </is>
      </c>
      <c r="G313" t="inlineStr">
        <is>
          <t>KARLSKRONA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46299</v>
      </c>
      <c r="F314" t="inlineStr">
        <is>
          <t>BLEKINGE LÄN</t>
        </is>
      </c>
      <c r="G314" t="inlineStr">
        <is>
          <t>KARLSKRONA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46299</v>
      </c>
      <c r="F315" t="inlineStr">
        <is>
          <t>BLEKINGE LÄN</t>
        </is>
      </c>
      <c r="G315" t="inlineStr">
        <is>
          <t>KARLSKRONA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46299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45309</v>
      </c>
      <c r="E317" s="1" t="n">
        <v>46299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65639-2021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44516</v>
      </c>
      <c r="E318" s="1" t="n">
        <v>46299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46299</v>
      </c>
      <c r="F319" t="inlineStr">
        <is>
          <t>BLEKINGE LÄN</t>
        </is>
      </c>
      <c r="G319" t="inlineStr">
        <is>
          <t>KARLSKRONA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46299</v>
      </c>
      <c r="F320" t="inlineStr">
        <is>
          <t>BLEKINGE LÄN</t>
        </is>
      </c>
      <c r="G320" t="inlineStr">
        <is>
          <t>KARLSKRONA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46299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46299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46299</v>
      </c>
      <c r="F323" t="inlineStr">
        <is>
          <t>BLEKINGE LÄN</t>
        </is>
      </c>
      <c r="G323" t="inlineStr">
        <is>
          <t>KARLSKRONA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46299</v>
      </c>
      <c r="F324" t="inlineStr">
        <is>
          <t>BLEKINGE LÄN</t>
        </is>
      </c>
      <c r="G324" t="inlineStr">
        <is>
          <t>KARLSKRONA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46299</v>
      </c>
      <c r="F325" t="inlineStr">
        <is>
          <t>BLEKINGE LÄN</t>
        </is>
      </c>
      <c r="G325" t="inlineStr">
        <is>
          <t>KARLSKRONA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46299</v>
      </c>
      <c r="F326" t="inlineStr">
        <is>
          <t>BLEKINGE LÄN</t>
        </is>
      </c>
      <c r="G326" t="inlineStr">
        <is>
          <t>KARLSKRONA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46299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67336-2021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44523</v>
      </c>
      <c r="E328" s="1" t="n">
        <v>46299</v>
      </c>
      <c r="F328" t="inlineStr">
        <is>
          <t>BLEKINGE LÄN</t>
        </is>
      </c>
      <c r="G328" t="inlineStr">
        <is>
          <t>KARLSKRONA</t>
        </is>
      </c>
      <c r="I328" t="n">
        <v>13.4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46299</v>
      </c>
      <c r="F329" t="inlineStr">
        <is>
          <t>BLEKINGE LÄN</t>
        </is>
      </c>
      <c r="G329" t="inlineStr">
        <is>
          <t>KARLSKRONA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46299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46299</v>
      </c>
      <c r="F331" t="inlineStr">
        <is>
          <t>BLEKINGE LÄN</t>
        </is>
      </c>
      <c r="G331" t="inlineStr">
        <is>
          <t>KARLSKRONA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45361</v>
      </c>
      <c r="E332" s="1" t="n">
        <v>46299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46299</v>
      </c>
      <c r="F333" t="inlineStr">
        <is>
          <t>BLEKINGE LÄN</t>
        </is>
      </c>
      <c r="G333" t="inlineStr">
        <is>
          <t>KARLSKRONA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46299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46299</v>
      </c>
      <c r="F335" t="inlineStr">
        <is>
          <t>BLEKINGE LÄN</t>
        </is>
      </c>
      <c r="G335" t="inlineStr">
        <is>
          <t>KARLSKRONA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46299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46299</v>
      </c>
      <c r="F337" t="inlineStr">
        <is>
          <t>BLEKINGE LÄN</t>
        </is>
      </c>
      <c r="G337" t="inlineStr">
        <is>
          <t>KARLSKRONA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46299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46299</v>
      </c>
      <c r="F339" t="inlineStr">
        <is>
          <t>BLEKINGE LÄN</t>
        </is>
      </c>
      <c r="G339" t="inlineStr">
        <is>
          <t>KARLSKRONA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46299</v>
      </c>
      <c r="F340" t="inlineStr">
        <is>
          <t>BLEKINGE LÄN</t>
        </is>
      </c>
      <c r="G340" t="inlineStr">
        <is>
          <t>KARLSKRONA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46113</v>
      </c>
      <c r="E341" s="1" t="n">
        <v>46299</v>
      </c>
      <c r="F341" t="inlineStr">
        <is>
          <t>BLEKINGE LÄN</t>
        </is>
      </c>
      <c r="G341" t="inlineStr">
        <is>
          <t>KARLSKRONA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46299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34319-2025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45846</v>
      </c>
      <c r="E343" s="1" t="n">
        <v>46299</v>
      </c>
      <c r="F343" t="inlineStr">
        <is>
          <t>BLEKINGE LÄN</t>
        </is>
      </c>
      <c r="G343" t="inlineStr">
        <is>
          <t>KARLSKRONA</t>
        </is>
      </c>
      <c r="H343" t="inlineStr">
        <is>
          <t>Kommuner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44636</v>
      </c>
      <c r="E344" s="1" t="n">
        <v>46299</v>
      </c>
      <c r="F344" t="inlineStr">
        <is>
          <t>BLEKINGE LÄN</t>
        </is>
      </c>
      <c r="G344" t="inlineStr">
        <is>
          <t>KARLSKRONA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46299</v>
      </c>
      <c r="F345" t="inlineStr">
        <is>
          <t>BLEKINGE LÄN</t>
        </is>
      </c>
      <c r="G345" t="inlineStr">
        <is>
          <t>KARLSKRONA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45342</v>
      </c>
      <c r="E346" s="1" t="n">
        <v>46299</v>
      </c>
      <c r="F346" t="inlineStr">
        <is>
          <t>BLEKINGE LÄN</t>
        </is>
      </c>
      <c r="G346" t="inlineStr">
        <is>
          <t>KARLSKRONA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46299</v>
      </c>
      <c r="F347" t="inlineStr">
        <is>
          <t>BLEKINGE LÄN</t>
        </is>
      </c>
      <c r="G347" t="inlineStr">
        <is>
          <t>KARLSKRONA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46299</v>
      </c>
      <c r="F348" t="inlineStr">
        <is>
          <t>BLEKINGE LÄN</t>
        </is>
      </c>
      <c r="G348" t="inlineStr">
        <is>
          <t>KARLSKRONA</t>
        </is>
      </c>
      <c r="H348" t="inlineStr">
        <is>
          <t>Kommuner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45095</v>
      </c>
      <c r="E349" s="1" t="n">
        <v>46299</v>
      </c>
      <c r="F349" t="inlineStr">
        <is>
          <t>BLEKINGE LÄN</t>
        </is>
      </c>
      <c r="G349" t="inlineStr">
        <is>
          <t>KARLSKRONA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46299</v>
      </c>
      <c r="F350" t="inlineStr">
        <is>
          <t>BLEKINGE LÄN</t>
        </is>
      </c>
      <c r="G350" t="inlineStr">
        <is>
          <t>KARLSKRONA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46299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48999-2022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46299</v>
      </c>
      <c r="F352" t="inlineStr">
        <is>
          <t>BLEKINGE LÄN</t>
        </is>
      </c>
      <c r="G352" t="inlineStr">
        <is>
          <t>KARLSKRONA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46299</v>
      </c>
      <c r="F353" t="inlineStr">
        <is>
          <t>BLEKINGE LÄN</t>
        </is>
      </c>
      <c r="G353" t="inlineStr">
        <is>
          <t>KARLSKRONA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45050</v>
      </c>
      <c r="E354" s="1" t="n">
        <v>46299</v>
      </c>
      <c r="F354" t="inlineStr">
        <is>
          <t>BLEKINGE LÄN</t>
        </is>
      </c>
      <c r="G354" t="inlineStr">
        <is>
          <t>KARLSKRONA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46299</v>
      </c>
      <c r="F355" t="inlineStr">
        <is>
          <t>BLEKINGE LÄN</t>
        </is>
      </c>
      <c r="G355" t="inlineStr">
        <is>
          <t>KARLSKRONA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46299</v>
      </c>
      <c r="F356" t="inlineStr">
        <is>
          <t>BLEKINGE LÄN</t>
        </is>
      </c>
      <c r="G356" t="inlineStr">
        <is>
          <t>KARLSKRONA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46299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45715</v>
      </c>
      <c r="E358" s="1" t="n">
        <v>46299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45250</v>
      </c>
      <c r="E359" s="1" t="n">
        <v>46299</v>
      </c>
      <c r="F359" t="inlineStr">
        <is>
          <t>BLEKINGE LÄN</t>
        </is>
      </c>
      <c r="G359" t="inlineStr">
        <is>
          <t>KARLSKRONA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24668-2023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45084</v>
      </c>
      <c r="E360" s="1" t="n">
        <v>46299</v>
      </c>
      <c r="F360" t="inlineStr">
        <is>
          <t>BLEKINGE LÄN</t>
        </is>
      </c>
      <c r="G360" t="inlineStr">
        <is>
          <t>KARLSKRONA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55147-2021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44474</v>
      </c>
      <c r="E361" s="1" t="n">
        <v>46299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46299</v>
      </c>
      <c r="F362" t="inlineStr">
        <is>
          <t>BLEKINGE LÄN</t>
        </is>
      </c>
      <c r="G362" t="inlineStr">
        <is>
          <t>KARLSKRONA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45335</v>
      </c>
      <c r="E363" s="1" t="n">
        <v>46299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46299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46299</v>
      </c>
      <c r="F365" t="inlineStr">
        <is>
          <t>BLEKINGE LÄN</t>
        </is>
      </c>
      <c r="G365" t="inlineStr">
        <is>
          <t>KARLSKRONA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45839</v>
      </c>
      <c r="E366" s="1" t="n">
        <v>46299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46299</v>
      </c>
      <c r="F367" t="inlineStr">
        <is>
          <t>BLEKINGE LÄN</t>
        </is>
      </c>
      <c r="G367" t="inlineStr">
        <is>
          <t>KARLSKRONA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45783</v>
      </c>
      <c r="E368" s="1" t="n">
        <v>46299</v>
      </c>
      <c r="F368" t="inlineStr">
        <is>
          <t>BLEKINGE LÄN</t>
        </is>
      </c>
      <c r="G368" t="inlineStr">
        <is>
          <t>KARLSKRONA</t>
        </is>
      </c>
      <c r="I368" t="n">
        <v>11.5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45711</v>
      </c>
      <c r="E369" s="1" t="n">
        <v>46299</v>
      </c>
      <c r="F369" t="inlineStr">
        <is>
          <t>BLEKINGE LÄN</t>
        </is>
      </c>
      <c r="G369" t="inlineStr">
        <is>
          <t>KARLSKRONA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46299</v>
      </c>
      <c r="F370" t="inlineStr">
        <is>
          <t>BLEKINGE LÄN</t>
        </is>
      </c>
      <c r="G370" t="inlineStr">
        <is>
          <t>KARLSKRONA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46299</v>
      </c>
      <c r="F371" t="inlineStr">
        <is>
          <t>BLEKINGE LÄN</t>
        </is>
      </c>
      <c r="G371" t="inlineStr">
        <is>
          <t>KARLSKRONA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45256</v>
      </c>
      <c r="E372" s="1" t="n">
        <v>46299</v>
      </c>
      <c r="F372" t="inlineStr">
        <is>
          <t>BLEKINGE LÄN</t>
        </is>
      </c>
      <c r="G372" t="inlineStr">
        <is>
          <t>KARLSKRONA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40219-2023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45169</v>
      </c>
      <c r="E373" s="1" t="n">
        <v>46299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46299</v>
      </c>
      <c r="F374" t="inlineStr">
        <is>
          <t>BLEKINGE LÄN</t>
        </is>
      </c>
      <c r="G374" t="inlineStr">
        <is>
          <t>KARLSKRONA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73356-2021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44551</v>
      </c>
      <c r="E375" s="1" t="n">
        <v>46299</v>
      </c>
      <c r="F375" t="inlineStr">
        <is>
          <t>BLEKINGE LÄN</t>
        </is>
      </c>
      <c r="G375" t="inlineStr">
        <is>
          <t>KARLSKRONA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57996-2024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45631</v>
      </c>
      <c r="E376" s="1" t="n">
        <v>46299</v>
      </c>
      <c r="F376" t="inlineStr">
        <is>
          <t>BLEKINGE LÄN</t>
        </is>
      </c>
      <c r="G376" t="inlineStr">
        <is>
          <t>KARLSKRONA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46299</v>
      </c>
      <c r="F377" t="inlineStr">
        <is>
          <t>BLEKINGE LÄN</t>
        </is>
      </c>
      <c r="G377" t="inlineStr">
        <is>
          <t>KARLSKRONA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46299</v>
      </c>
      <c r="F378" t="inlineStr">
        <is>
          <t>BLEKINGE LÄN</t>
        </is>
      </c>
      <c r="G378" t="inlineStr">
        <is>
          <t>KARLSKRONA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45812</v>
      </c>
      <c r="E379" s="1" t="n">
        <v>46299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46299</v>
      </c>
      <c r="F380" t="inlineStr">
        <is>
          <t>BLEKINGE LÄN</t>
        </is>
      </c>
      <c r="G380" t="inlineStr">
        <is>
          <t>KARLSKRONA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46299</v>
      </c>
      <c r="F381" t="inlineStr">
        <is>
          <t>BLEKINGE LÄN</t>
        </is>
      </c>
      <c r="G381" t="inlineStr">
        <is>
          <t>KARLSKRONA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21833-2025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45784</v>
      </c>
      <c r="E382" s="1" t="n">
        <v>46299</v>
      </c>
      <c r="F382" t="inlineStr">
        <is>
          <t>BLEKINGE LÄN</t>
        </is>
      </c>
      <c r="G382" t="inlineStr">
        <is>
          <t>KARLSKRONA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45133</v>
      </c>
      <c r="E383" s="1" t="n">
        <v>46299</v>
      </c>
      <c r="F383" t="inlineStr">
        <is>
          <t>BLEKINGE LÄN</t>
        </is>
      </c>
      <c r="G383" t="inlineStr">
        <is>
          <t>KARLSKRONA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44874</v>
      </c>
      <c r="E384" s="1" t="n">
        <v>46299</v>
      </c>
      <c r="F384" t="inlineStr">
        <is>
          <t>BLEKINGE LÄN</t>
        </is>
      </c>
      <c r="G384" t="inlineStr">
        <is>
          <t>KARLSKRONA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46299</v>
      </c>
      <c r="F385" t="inlineStr">
        <is>
          <t>BLEKINGE LÄN</t>
        </is>
      </c>
      <c r="G385" t="inlineStr">
        <is>
          <t>KARLSKRONA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46299</v>
      </c>
      <c r="F386" t="inlineStr">
        <is>
          <t>BLEKINGE LÄN</t>
        </is>
      </c>
      <c r="G386" t="inlineStr">
        <is>
          <t>KARLSKRONA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46299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46299</v>
      </c>
      <c r="F388" t="inlineStr">
        <is>
          <t>BLEKINGE LÄN</t>
        </is>
      </c>
      <c r="G388" t="inlineStr">
        <is>
          <t>KARLSKRONA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46299</v>
      </c>
      <c r="F389" t="inlineStr">
        <is>
          <t>BLEKINGE LÄN</t>
        </is>
      </c>
      <c r="G389" t="inlineStr">
        <is>
          <t>KARLSKRONA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46299</v>
      </c>
      <c r="F390" t="inlineStr">
        <is>
          <t>BLEKINGE LÄN</t>
        </is>
      </c>
      <c r="G390" t="inlineStr">
        <is>
          <t>KARLSKRONA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46299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61679-2024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45647</v>
      </c>
      <c r="E392" s="1" t="n">
        <v>46299</v>
      </c>
      <c r="F392" t="inlineStr">
        <is>
          <t>BLEKINGE LÄN</t>
        </is>
      </c>
      <c r="G392" t="inlineStr">
        <is>
          <t>KARLSKRONA</t>
        </is>
      </c>
      <c r="I392" t="n">
        <v>20.2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45415</v>
      </c>
      <c r="E393" s="1" t="n">
        <v>46299</v>
      </c>
      <c r="F393" t="inlineStr">
        <is>
          <t>BLEKINGE LÄN</t>
        </is>
      </c>
      <c r="G393" t="inlineStr">
        <is>
          <t>KARLSKRONA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55113-2025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46299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46299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45156</v>
      </c>
      <c r="E396" s="1" t="n">
        <v>46299</v>
      </c>
      <c r="F396" t="inlineStr">
        <is>
          <t>BLEKINGE LÄN</t>
        </is>
      </c>
      <c r="G396" t="inlineStr">
        <is>
          <t>KARLSKRONA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45917</v>
      </c>
      <c r="E397" s="1" t="n">
        <v>46299</v>
      </c>
      <c r="F397" t="inlineStr">
        <is>
          <t>BLEKINGE LÄN</t>
        </is>
      </c>
      <c r="G397" t="inlineStr">
        <is>
          <t>KARLSKRONA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46299</v>
      </c>
      <c r="F398" t="inlineStr">
        <is>
          <t>BLEKINGE LÄN</t>
        </is>
      </c>
      <c r="G398" t="inlineStr">
        <is>
          <t>KARLSKRONA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46299</v>
      </c>
      <c r="F399" t="inlineStr">
        <is>
          <t>BLEKINGE LÄN</t>
        </is>
      </c>
      <c r="G399" t="inlineStr">
        <is>
          <t>KARLSKRONA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46299</v>
      </c>
      <c r="F400" t="inlineStr">
        <is>
          <t>BLEKINGE LÄN</t>
        </is>
      </c>
      <c r="G400" t="inlineStr">
        <is>
          <t>KARLSKRONA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45159</v>
      </c>
      <c r="E401" s="1" t="n">
        <v>46299</v>
      </c>
      <c r="F401" t="inlineStr">
        <is>
          <t>BLEKINGE LÄN</t>
        </is>
      </c>
      <c r="G401" t="inlineStr">
        <is>
          <t>KARLSKRONA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45980</v>
      </c>
      <c r="E402" s="1" t="n">
        <v>46299</v>
      </c>
      <c r="F402" t="inlineStr">
        <is>
          <t>BLEKINGE LÄN</t>
        </is>
      </c>
      <c r="G402" t="inlineStr">
        <is>
          <t>KARLSKRONA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46299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46299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46299</v>
      </c>
      <c r="F405" t="inlineStr">
        <is>
          <t>BLEKINGE LÄN</t>
        </is>
      </c>
      <c r="G405" t="inlineStr">
        <is>
          <t>KARLSKRONA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46299</v>
      </c>
      <c r="F406" t="inlineStr">
        <is>
          <t>BLEKINGE LÄN</t>
        </is>
      </c>
      <c r="G406" t="inlineStr">
        <is>
          <t>KARLSKRONA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46299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45035</v>
      </c>
      <c r="E408" s="1" t="n">
        <v>46299</v>
      </c>
      <c r="F408" t="inlineStr">
        <is>
          <t>BLEKINGE LÄN</t>
        </is>
      </c>
      <c r="G408" t="inlineStr">
        <is>
          <t>KARLSKRONA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45035</v>
      </c>
      <c r="E409" s="1" t="n">
        <v>46299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46299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44742</v>
      </c>
      <c r="E411" s="1" t="n">
        <v>46299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46299</v>
      </c>
      <c r="F412" t="inlineStr">
        <is>
          <t>BLEKINGE LÄN</t>
        </is>
      </c>
      <c r="G412" t="inlineStr">
        <is>
          <t>KARLSKRONA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46299</v>
      </c>
      <c r="F413" t="inlineStr">
        <is>
          <t>BLEKINGE LÄN</t>
        </is>
      </c>
      <c r="G413" t="inlineStr">
        <is>
          <t>KARLSKRONA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46299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46299</v>
      </c>
      <c r="F415" t="inlineStr">
        <is>
          <t>BLEKINGE LÄN</t>
        </is>
      </c>
      <c r="G415" t="inlineStr">
        <is>
          <t>KARLSKRONA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12181-2022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44636</v>
      </c>
      <c r="E416" s="1" t="n">
        <v>46299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45602</v>
      </c>
      <c r="E417" s="1" t="n">
        <v>46299</v>
      </c>
      <c r="F417" t="inlineStr">
        <is>
          <t>BLEKINGE LÄN</t>
        </is>
      </c>
      <c r="G417" t="inlineStr">
        <is>
          <t>KARLSKRONA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45602</v>
      </c>
      <c r="E418" s="1" t="n">
        <v>46299</v>
      </c>
      <c r="F418" t="inlineStr">
        <is>
          <t>BLEKINGE LÄN</t>
        </is>
      </c>
      <c r="G418" t="inlineStr">
        <is>
          <t>KARLSKRONA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46299</v>
      </c>
      <c r="F419" t="inlineStr">
        <is>
          <t>BLEKINGE LÄN</t>
        </is>
      </c>
      <c r="G419" t="inlineStr">
        <is>
          <t>KARLSKRONA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45789</v>
      </c>
      <c r="E420" s="1" t="n">
        <v>46299</v>
      </c>
      <c r="F420" t="inlineStr">
        <is>
          <t>BLEKINGE LÄN</t>
        </is>
      </c>
      <c r="G420" t="inlineStr">
        <is>
          <t>KARLSKRONA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46299</v>
      </c>
      <c r="F421" t="inlineStr">
        <is>
          <t>BLEKINGE LÄN</t>
        </is>
      </c>
      <c r="G421" t="inlineStr">
        <is>
          <t>KARLSKRONA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45645</v>
      </c>
      <c r="E422" s="1" t="n">
        <v>46299</v>
      </c>
      <c r="F422" t="inlineStr">
        <is>
          <t>BLEKINGE LÄN</t>
        </is>
      </c>
      <c r="G422" t="inlineStr">
        <is>
          <t>KARLSKRONA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46299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46299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46299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46299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45631</v>
      </c>
      <c r="E427" s="1" t="n">
        <v>46299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46299</v>
      </c>
      <c r="F428" t="inlineStr">
        <is>
          <t>BLEKINGE LÄN</t>
        </is>
      </c>
      <c r="G428" t="inlineStr">
        <is>
          <t>KARLSKRONA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45749</v>
      </c>
      <c r="E429" s="1" t="n">
        <v>46299</v>
      </c>
      <c r="F429" t="inlineStr">
        <is>
          <t>BLEKINGE LÄN</t>
        </is>
      </c>
      <c r="G429" t="inlineStr">
        <is>
          <t>KARLSKRONA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46299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45873</v>
      </c>
      <c r="E431" s="1" t="n">
        <v>46299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46299</v>
      </c>
      <c r="F432" t="inlineStr">
        <is>
          <t>BLEKINGE LÄN</t>
        </is>
      </c>
      <c r="G432" t="inlineStr">
        <is>
          <t>KARLSKRONA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45340</v>
      </c>
      <c r="E433" s="1" t="n">
        <v>46299</v>
      </c>
      <c r="F433" t="inlineStr">
        <is>
          <t>BLEKINGE LÄN</t>
        </is>
      </c>
      <c r="G433" t="inlineStr">
        <is>
          <t>KARLSKRONA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61749-2022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44911</v>
      </c>
      <c r="E434" s="1" t="n">
        <v>46299</v>
      </c>
      <c r="F434" t="inlineStr">
        <is>
          <t>BLEKINGE LÄN</t>
        </is>
      </c>
      <c r="G434" t="inlineStr">
        <is>
          <t>KARLSKRONA</t>
        </is>
      </c>
      <c r="I434" t="n">
        <v>14.2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46299</v>
      </c>
      <c r="F435" t="inlineStr">
        <is>
          <t>BLEKINGE LÄN</t>
        </is>
      </c>
      <c r="G435" t="inlineStr">
        <is>
          <t>KARLSKRONA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46299</v>
      </c>
      <c r="F436" t="inlineStr">
        <is>
          <t>BLEKINGE LÄN</t>
        </is>
      </c>
      <c r="G436" t="inlineStr">
        <is>
          <t>KARLSKRONA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46299</v>
      </c>
      <c r="F437" t="inlineStr">
        <is>
          <t>BLEKINGE LÄN</t>
        </is>
      </c>
      <c r="G437" t="inlineStr">
        <is>
          <t>KARLSKRONA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45407</v>
      </c>
      <c r="E438" s="1" t="n">
        <v>46299</v>
      </c>
      <c r="F438" t="inlineStr">
        <is>
          <t>BLEKINGE LÄN</t>
        </is>
      </c>
      <c r="G438" t="inlineStr">
        <is>
          <t>KARLSKRONA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46299</v>
      </c>
      <c r="F439" t="inlineStr">
        <is>
          <t>BLEKINGE LÄN</t>
        </is>
      </c>
      <c r="G439" t="inlineStr">
        <is>
          <t>KARLSKRONA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46299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46299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45118</v>
      </c>
      <c r="E442" s="1" t="n">
        <v>46299</v>
      </c>
      <c r="F442" t="inlineStr">
        <is>
          <t>BLEKINGE LÄN</t>
        </is>
      </c>
      <c r="G442" t="inlineStr">
        <is>
          <t>KARLSKRONA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45106</v>
      </c>
      <c r="E443" s="1" t="n">
        <v>46299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45002</v>
      </c>
      <c r="E444" s="1" t="n">
        <v>46299</v>
      </c>
      <c r="F444" t="inlineStr">
        <is>
          <t>BLEKINGE LÄN</t>
        </is>
      </c>
      <c r="G444" t="inlineStr">
        <is>
          <t>KARLSKRONA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46299</v>
      </c>
      <c r="F445" t="inlineStr">
        <is>
          <t>BLEKINGE LÄN</t>
        </is>
      </c>
      <c r="G445" t="inlineStr">
        <is>
          <t>KARLSKRONA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29481-2022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44753</v>
      </c>
      <c r="E446" s="1" t="n">
        <v>46299</v>
      </c>
      <c r="F446" t="inlineStr">
        <is>
          <t>BLEKINGE LÄN</t>
        </is>
      </c>
      <c r="G446" t="inlineStr">
        <is>
          <t>KARLSKRONA</t>
        </is>
      </c>
      <c r="I446" t="n">
        <v>9.5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46299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44862</v>
      </c>
      <c r="E448" s="1" t="n">
        <v>46299</v>
      </c>
      <c r="F448" t="inlineStr">
        <is>
          <t>BLEKINGE LÄN</t>
        </is>
      </c>
      <c r="G448" t="inlineStr">
        <is>
          <t>KARLSKRONA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45106</v>
      </c>
      <c r="E449" s="1" t="n">
        <v>46299</v>
      </c>
      <c r="F449" t="inlineStr">
        <is>
          <t>BLEKINGE LÄN</t>
        </is>
      </c>
      <c r="G449" t="inlineStr">
        <is>
          <t>KARLSKRONA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46299</v>
      </c>
      <c r="F450" t="inlineStr">
        <is>
          <t>BLEKINGE LÄN</t>
        </is>
      </c>
      <c r="G450" t="inlineStr">
        <is>
          <t>KARLSKRONA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46299</v>
      </c>
      <c r="F451" t="inlineStr">
        <is>
          <t>BLEKINGE LÄN</t>
        </is>
      </c>
      <c r="G451" t="inlineStr">
        <is>
          <t>KARLSKRONA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45832</v>
      </c>
      <c r="E452" s="1" t="n">
        <v>46299</v>
      </c>
      <c r="F452" t="inlineStr">
        <is>
          <t>BLEKINGE LÄN</t>
        </is>
      </c>
      <c r="G452" t="inlineStr">
        <is>
          <t>KARLSKRONA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45133</v>
      </c>
      <c r="E453" s="1" t="n">
        <v>46299</v>
      </c>
      <c r="F453" t="inlineStr">
        <is>
          <t>BLEKINGE LÄN</t>
        </is>
      </c>
      <c r="G453" t="inlineStr">
        <is>
          <t>KARLSKRONA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46077</v>
      </c>
      <c r="E454" s="1" t="n">
        <v>46299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46299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46299</v>
      </c>
      <c r="F456" t="inlineStr">
        <is>
          <t>BLEKINGE LÄN</t>
        </is>
      </c>
      <c r="G456" t="inlineStr">
        <is>
          <t>KARLSKRONA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45809</v>
      </c>
      <c r="E457" s="1" t="n">
        <v>46299</v>
      </c>
      <c r="F457" t="inlineStr">
        <is>
          <t>BLEKINGE LÄN</t>
        </is>
      </c>
      <c r="G457" t="inlineStr">
        <is>
          <t>KARLSKRONA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46299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8197-2024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45351</v>
      </c>
      <c r="E459" s="1" t="n">
        <v>46299</v>
      </c>
      <c r="F459" t="inlineStr">
        <is>
          <t>BLEKINGE LÄN</t>
        </is>
      </c>
      <c r="G459" t="inlineStr">
        <is>
          <t>KARLSKRONA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46125</v>
      </c>
      <c r="E460" s="1" t="n">
        <v>46299</v>
      </c>
      <c r="F460" t="inlineStr">
        <is>
          <t>BLEKINGE LÄN</t>
        </is>
      </c>
      <c r="G460" t="inlineStr">
        <is>
          <t>KARLSKRONA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45875</v>
      </c>
      <c r="E461" s="1" t="n">
        <v>46299</v>
      </c>
      <c r="F461" t="inlineStr">
        <is>
          <t>BLEKINGE LÄN</t>
        </is>
      </c>
      <c r="G461" t="inlineStr">
        <is>
          <t>KARLSKRONA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46158</v>
      </c>
      <c r="E462" s="1" t="n">
        <v>46299</v>
      </c>
      <c r="F462" t="inlineStr">
        <is>
          <t>BLEKINGE LÄN</t>
        </is>
      </c>
      <c r="G462" t="inlineStr">
        <is>
          <t>KARLSKRONA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45699</v>
      </c>
      <c r="E463" s="1" t="n">
        <v>46299</v>
      </c>
      <c r="F463" t="inlineStr">
        <is>
          <t>BLEKINGE LÄN</t>
        </is>
      </c>
      <c r="G463" t="inlineStr">
        <is>
          <t>KARLSKRONA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45809</v>
      </c>
      <c r="E464" s="1" t="n">
        <v>46299</v>
      </c>
      <c r="F464" t="inlineStr">
        <is>
          <t>BLEKINGE LÄN</t>
        </is>
      </c>
      <c r="G464" t="inlineStr">
        <is>
          <t>KARLSKRONA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46158</v>
      </c>
      <c r="E465" s="1" t="n">
        <v>46299</v>
      </c>
      <c r="F465" t="inlineStr">
        <is>
          <t>BLEKINGE LÄN</t>
        </is>
      </c>
      <c r="G465" t="inlineStr">
        <is>
          <t>KARLSKRONA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22798-2026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46158</v>
      </c>
      <c r="E466" s="1" t="n">
        <v>46299</v>
      </c>
      <c r="F466" t="inlineStr">
        <is>
          <t>BLEKINGE LÄN</t>
        </is>
      </c>
      <c r="G466" t="inlineStr">
        <is>
          <t>KARLSKRONA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46158</v>
      </c>
      <c r="E467" s="1" t="n">
        <v>46299</v>
      </c>
      <c r="F467" t="inlineStr">
        <is>
          <t>BLEKINGE LÄN</t>
        </is>
      </c>
      <c r="G467" t="inlineStr">
        <is>
          <t>KARLSKRONA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46158</v>
      </c>
      <c r="E468" s="1" t="n">
        <v>46299</v>
      </c>
      <c r="F468" t="inlineStr">
        <is>
          <t>BLEKINGE LÄN</t>
        </is>
      </c>
      <c r="G468" t="inlineStr">
        <is>
          <t>KARLSKRONA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46158</v>
      </c>
      <c r="E469" s="1" t="n">
        <v>46299</v>
      </c>
      <c r="F469" t="inlineStr">
        <is>
          <t>BLEKINGE LÄN</t>
        </is>
      </c>
      <c r="G469" t="inlineStr">
        <is>
          <t>KARLSKRONA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46299</v>
      </c>
      <c r="F470" t="inlineStr">
        <is>
          <t>BLEKINGE LÄN</t>
        </is>
      </c>
      <c r="G470" t="inlineStr">
        <is>
          <t>KARLSKRONA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46299</v>
      </c>
      <c r="F471" t="inlineStr">
        <is>
          <t>BLEKINGE LÄN</t>
        </is>
      </c>
      <c r="G471" t="inlineStr">
        <is>
          <t>KARLSKRONA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54956-2024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45619</v>
      </c>
      <c r="E472" s="1" t="n">
        <v>46299</v>
      </c>
      <c r="F472" t="inlineStr">
        <is>
          <t>BLEKINGE LÄN</t>
        </is>
      </c>
      <c r="G472" t="inlineStr">
        <is>
          <t>KARLSKRONA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36964-2023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45154</v>
      </c>
      <c r="E473" s="1" t="n">
        <v>46299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46299</v>
      </c>
      <c r="F474" t="inlineStr">
        <is>
          <t>BLEKINGE LÄN</t>
        </is>
      </c>
      <c r="G474" t="inlineStr">
        <is>
          <t>KARLSKRONA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46299</v>
      </c>
      <c r="F475" t="inlineStr">
        <is>
          <t>BLEKINGE LÄN</t>
        </is>
      </c>
      <c r="G475" t="inlineStr">
        <is>
          <t>KARLSKRONA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68972-2021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46299</v>
      </c>
      <c r="F476" t="inlineStr">
        <is>
          <t>BLEKINGE LÄN</t>
        </is>
      </c>
      <c r="G476" t="inlineStr">
        <is>
          <t>KARLSKRONA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46299</v>
      </c>
      <c r="F477" t="inlineStr">
        <is>
          <t>BLEKINGE LÄN</t>
        </is>
      </c>
      <c r="G477" t="inlineStr">
        <is>
          <t>KARLSKRONA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54942-2021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44473</v>
      </c>
      <c r="E478" s="1" t="n">
        <v>46299</v>
      </c>
      <c r="F478" t="inlineStr">
        <is>
          <t>BLEKINGE LÄN</t>
        </is>
      </c>
      <c r="G478" t="inlineStr">
        <is>
          <t>KARLSKRONA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46299</v>
      </c>
      <c r="F479" t="inlineStr">
        <is>
          <t>BLEKINGE LÄN</t>
        </is>
      </c>
      <c r="G479" t="inlineStr">
        <is>
          <t>KARLSKRONA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46299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46299</v>
      </c>
      <c r="F481" t="inlineStr">
        <is>
          <t>BLEKINGE LÄN</t>
        </is>
      </c>
      <c r="G481" t="inlineStr">
        <is>
          <t>KARLSKRONA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46299</v>
      </c>
      <c r="F482" t="inlineStr">
        <is>
          <t>BLEKINGE LÄN</t>
        </is>
      </c>
      <c r="G482" t="inlineStr">
        <is>
          <t>KARLSKRONA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46299</v>
      </c>
      <c r="F483" t="inlineStr">
        <is>
          <t>BLEKINGE LÄN</t>
        </is>
      </c>
      <c r="G483" t="inlineStr">
        <is>
          <t>KARLSKRONA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46299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46299</v>
      </c>
      <c r="F485" t="inlineStr">
        <is>
          <t>BLEKINGE LÄN</t>
        </is>
      </c>
      <c r="G485" t="inlineStr">
        <is>
          <t>KARLSKRONA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46299</v>
      </c>
      <c r="F486" t="inlineStr">
        <is>
          <t>BLEKINGE LÄN</t>
        </is>
      </c>
      <c r="G486" t="inlineStr">
        <is>
          <t>KARLSKRONA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37394-2022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44809</v>
      </c>
      <c r="E487" s="1" t="n">
        <v>46299</v>
      </c>
      <c r="F487" t="inlineStr">
        <is>
          <t>BLEKINGE LÄN</t>
        </is>
      </c>
      <c r="G487" t="inlineStr">
        <is>
          <t>KARLSKRONA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44756</v>
      </c>
      <c r="E488" s="1" t="n">
        <v>46299</v>
      </c>
      <c r="F488" t="inlineStr">
        <is>
          <t>BLEKINGE LÄN</t>
        </is>
      </c>
      <c r="G488" t="inlineStr">
        <is>
          <t>KARLSKRONA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23679-2023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45077</v>
      </c>
      <c r="E489" s="1" t="n">
        <v>46299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46299</v>
      </c>
      <c r="F490" t="inlineStr">
        <is>
          <t>BLEKINGE LÄN</t>
        </is>
      </c>
      <c r="G490" t="inlineStr">
        <is>
          <t>KARLSKRONA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46299</v>
      </c>
      <c r="F491" t="inlineStr">
        <is>
          <t>BLEKINGE LÄN</t>
        </is>
      </c>
      <c r="G491" t="inlineStr">
        <is>
          <t>KARLSKRONA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51455-2024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46299</v>
      </c>
      <c r="F492" t="inlineStr">
        <is>
          <t>BLEKINGE LÄN</t>
        </is>
      </c>
      <c r="G492" t="inlineStr">
        <is>
          <t>KARLSKRONA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46299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24969-2022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44728</v>
      </c>
      <c r="E494" s="1" t="n">
        <v>46299</v>
      </c>
      <c r="F494" t="inlineStr">
        <is>
          <t>BLEKINGE LÄN</t>
        </is>
      </c>
      <c r="G494" t="inlineStr">
        <is>
          <t>KARLSKRONA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45695</v>
      </c>
      <c r="E495" s="1" t="n">
        <v>46299</v>
      </c>
      <c r="F495" t="inlineStr">
        <is>
          <t>BLEKINGE LÄN</t>
        </is>
      </c>
      <c r="G495" t="inlineStr">
        <is>
          <t>KARLSKRONA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45469</v>
      </c>
      <c r="E496" s="1" t="n">
        <v>46299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46299</v>
      </c>
      <c r="F497" t="inlineStr">
        <is>
          <t>BLEKINGE LÄN</t>
        </is>
      </c>
      <c r="G497" t="inlineStr">
        <is>
          <t>KARLSKRONA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45883</v>
      </c>
      <c r="E498" s="1" t="n">
        <v>46299</v>
      </c>
      <c r="F498" t="inlineStr">
        <is>
          <t>BLEKINGE LÄN</t>
        </is>
      </c>
      <c r="G498" t="inlineStr">
        <is>
          <t>KARLSKRONA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44981</v>
      </c>
      <c r="E499" s="1" t="n">
        <v>46299</v>
      </c>
      <c r="F499" t="inlineStr">
        <is>
          <t>BLEKINGE LÄN</t>
        </is>
      </c>
      <c r="G499" t="inlineStr">
        <is>
          <t>KARLSKRONA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45610</v>
      </c>
      <c r="E500" s="1" t="n">
        <v>46299</v>
      </c>
      <c r="F500" t="inlineStr">
        <is>
          <t>BLEKINGE LÄN</t>
        </is>
      </c>
      <c r="G500" t="inlineStr">
        <is>
          <t>KARLSKRONA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46299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46299</v>
      </c>
      <c r="F502" t="inlineStr">
        <is>
          <t>BLEKINGE LÄN</t>
        </is>
      </c>
      <c r="G502" t="inlineStr">
        <is>
          <t>KARLSKRONA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46299</v>
      </c>
      <c r="F503" t="inlineStr">
        <is>
          <t>BLEKINGE LÄN</t>
        </is>
      </c>
      <c r="G503" t="inlineStr">
        <is>
          <t>KARLSKRONA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16077-2025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45749</v>
      </c>
      <c r="E504" s="1" t="n">
        <v>46299</v>
      </c>
      <c r="F504" t="inlineStr">
        <is>
          <t>BLEKINGE LÄN</t>
        </is>
      </c>
      <c r="G504" t="inlineStr">
        <is>
          <t>KARLSKRONA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46299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52810-2024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45610</v>
      </c>
      <c r="E506" s="1" t="n">
        <v>46299</v>
      </c>
      <c r="F506" t="inlineStr">
        <is>
          <t>BLEKINGE LÄN</t>
        </is>
      </c>
      <c r="G506" t="inlineStr">
        <is>
          <t>KARLSKRONA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53061-2022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44876</v>
      </c>
      <c r="E507" s="1" t="n">
        <v>46299</v>
      </c>
      <c r="F507" t="inlineStr">
        <is>
          <t>BLEKINGE LÄN</t>
        </is>
      </c>
      <c r="G507" t="inlineStr">
        <is>
          <t>KARLSKRONA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46299</v>
      </c>
      <c r="F508" t="inlineStr">
        <is>
          <t>BLEKINGE LÄN</t>
        </is>
      </c>
      <c r="G508" t="inlineStr">
        <is>
          <t>KARLSKRONA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46299</v>
      </c>
      <c r="F509" t="inlineStr">
        <is>
          <t>BLEKINGE LÄN</t>
        </is>
      </c>
      <c r="G509" t="inlineStr">
        <is>
          <t>KARLSKRONA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45127</v>
      </c>
      <c r="E510" s="1" t="n">
        <v>46299</v>
      </c>
      <c r="F510" t="inlineStr">
        <is>
          <t>BLEKINGE LÄN</t>
        </is>
      </c>
      <c r="G510" t="inlineStr">
        <is>
          <t>KARLSKRONA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46299</v>
      </c>
      <c r="F511" t="inlineStr">
        <is>
          <t>BLEKINGE LÄN</t>
        </is>
      </c>
      <c r="G511" t="inlineStr">
        <is>
          <t>KARLSKRONA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46299</v>
      </c>
      <c r="F512" t="inlineStr">
        <is>
          <t>BLEKINGE LÄN</t>
        </is>
      </c>
      <c r="G512" t="inlineStr">
        <is>
          <t>KARLSKRONA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46299</v>
      </c>
      <c r="F513" t="inlineStr">
        <is>
          <t>BLEKINGE LÄN</t>
        </is>
      </c>
      <c r="G513" t="inlineStr">
        <is>
          <t>KARLSKRONA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46299</v>
      </c>
      <c r="F514" t="inlineStr">
        <is>
          <t>BLEKINGE LÄN</t>
        </is>
      </c>
      <c r="G514" t="inlineStr">
        <is>
          <t>KARLSKRONA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45512</v>
      </c>
      <c r="E515" s="1" t="n">
        <v>46299</v>
      </c>
      <c r="F515" t="inlineStr">
        <is>
          <t>BLEKINGE LÄN</t>
        </is>
      </c>
      <c r="G515" t="inlineStr">
        <is>
          <t>KARLSKRONA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46299</v>
      </c>
      <c r="F516" t="inlineStr">
        <is>
          <t>BLEKINGE LÄN</t>
        </is>
      </c>
      <c r="G516" t="inlineStr">
        <is>
          <t>KARLSKRONA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46299</v>
      </c>
      <c r="F517" t="inlineStr">
        <is>
          <t>BLEKINGE LÄN</t>
        </is>
      </c>
      <c r="G517" t="inlineStr">
        <is>
          <t>KARLSKRONA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71708-2021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44543</v>
      </c>
      <c r="E518" s="1" t="n">
        <v>46299</v>
      </c>
      <c r="F518" t="inlineStr">
        <is>
          <t>BLEKINGE LÄN</t>
        </is>
      </c>
      <c r="G518" t="inlineStr">
        <is>
          <t>KARLSKRONA</t>
        </is>
      </c>
      <c r="I518" t="n">
        <v>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46299</v>
      </c>
      <c r="F519" t="inlineStr">
        <is>
          <t>BLEKINGE LÄN</t>
        </is>
      </c>
      <c r="G519" t="inlineStr">
        <is>
          <t>KARLSKRONA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46299</v>
      </c>
      <c r="F520" t="inlineStr">
        <is>
          <t>BLEKINGE LÄN</t>
        </is>
      </c>
      <c r="G520" t="inlineStr">
        <is>
          <t>KARLSKRONA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46299</v>
      </c>
      <c r="F521" t="inlineStr">
        <is>
          <t>BLEKINGE LÄN</t>
        </is>
      </c>
      <c r="G521" t="inlineStr">
        <is>
          <t>KARLSKRONA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46299</v>
      </c>
      <c r="F522" t="inlineStr">
        <is>
          <t>BLEKINGE LÄN</t>
        </is>
      </c>
      <c r="G522" t="inlineStr">
        <is>
          <t>KARLSKRONA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46299</v>
      </c>
      <c r="F523" t="inlineStr">
        <is>
          <t>BLEKINGE LÄN</t>
        </is>
      </c>
      <c r="G523" t="inlineStr">
        <is>
          <t>KARLSKRONA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45075</v>
      </c>
      <c r="E524" s="1" t="n">
        <v>46299</v>
      </c>
      <c r="F524" t="inlineStr">
        <is>
          <t>BLEKINGE LÄN</t>
        </is>
      </c>
      <c r="G524" t="inlineStr">
        <is>
          <t>KARLSKRONA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44930</v>
      </c>
      <c r="E525" s="1" t="n">
        <v>46299</v>
      </c>
      <c r="F525" t="inlineStr">
        <is>
          <t>BLEKINGE LÄN</t>
        </is>
      </c>
      <c r="G525" t="inlineStr">
        <is>
          <t>KARLSKRONA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46299</v>
      </c>
      <c r="F526" t="inlineStr">
        <is>
          <t>BLEKINGE LÄN</t>
        </is>
      </c>
      <c r="G526" t="inlineStr">
        <is>
          <t>KARLSKRONA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45082</v>
      </c>
      <c r="E527" s="1" t="n">
        <v>46299</v>
      </c>
      <c r="F527" t="inlineStr">
        <is>
          <t>BLEKINGE LÄN</t>
        </is>
      </c>
      <c r="G527" t="inlineStr">
        <is>
          <t>KARLSKRONA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45014</v>
      </c>
      <c r="E528" s="1" t="n">
        <v>46299</v>
      </c>
      <c r="F528" t="inlineStr">
        <is>
          <t>BLEKINGE LÄN</t>
        </is>
      </c>
      <c r="G528" t="inlineStr">
        <is>
          <t>KARLSKRONA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45085</v>
      </c>
      <c r="E529" s="1" t="n">
        <v>46299</v>
      </c>
      <c r="F529" t="inlineStr">
        <is>
          <t>BLEKINGE LÄN</t>
        </is>
      </c>
      <c r="G529" t="inlineStr">
        <is>
          <t>KARLSKRONA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46299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8946-2022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44614</v>
      </c>
      <c r="E531" s="1" t="n">
        <v>46299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45007</v>
      </c>
      <c r="E532" s="1" t="n">
        <v>46299</v>
      </c>
      <c r="F532" t="inlineStr">
        <is>
          <t>BLEKINGE LÄN</t>
        </is>
      </c>
      <c r="G532" t="inlineStr">
        <is>
          <t>KARLSKRONA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13786-2023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45007</v>
      </c>
      <c r="E533" s="1" t="n">
        <v>46299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46299</v>
      </c>
      <c r="F534" t="inlineStr">
        <is>
          <t>BLEKINGE LÄN</t>
        </is>
      </c>
      <c r="G534" t="inlineStr">
        <is>
          <t>KARLSKRONA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46299</v>
      </c>
      <c r="F535" t="inlineStr">
        <is>
          <t>BLEKINGE LÄN</t>
        </is>
      </c>
      <c r="G535" t="inlineStr">
        <is>
          <t>KARLSKRONA</t>
        </is>
      </c>
      <c r="I535" t="n">
        <v>7.7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39360-2024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46299</v>
      </c>
      <c r="F536" t="inlineStr">
        <is>
          <t>BLEKINGE LÄN</t>
        </is>
      </c>
      <c r="G536" t="inlineStr">
        <is>
          <t>KARLSKRONA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44691</v>
      </c>
      <c r="E537" s="1" t="n">
        <v>46299</v>
      </c>
      <c r="F537" t="inlineStr">
        <is>
          <t>BLEKINGE LÄN</t>
        </is>
      </c>
      <c r="G537" t="inlineStr">
        <is>
          <t>KARLSKRONA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46299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46299</v>
      </c>
      <c r="F539" t="inlineStr">
        <is>
          <t>BLEKINGE LÄN</t>
        </is>
      </c>
      <c r="G539" t="inlineStr">
        <is>
          <t>KARLSKRONA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46299</v>
      </c>
      <c r="F540" t="inlineStr">
        <is>
          <t>BLEKINGE LÄN</t>
        </is>
      </c>
      <c r="G540" t="inlineStr">
        <is>
          <t>KARLSKRONA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45085</v>
      </c>
      <c r="E541" s="1" t="n">
        <v>46299</v>
      </c>
      <c r="F541" t="inlineStr">
        <is>
          <t>BLEKINGE LÄN</t>
        </is>
      </c>
      <c r="G541" t="inlineStr">
        <is>
          <t>KARLSKRONA</t>
        </is>
      </c>
      <c r="I541" t="n">
        <v>10.9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44799</v>
      </c>
      <c r="E542" s="1" t="n">
        <v>46299</v>
      </c>
      <c r="F542" t="inlineStr">
        <is>
          <t>BLEKINGE LÄN</t>
        </is>
      </c>
      <c r="G542" t="inlineStr">
        <is>
          <t>KARLSKRONA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12698-2022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44641</v>
      </c>
      <c r="E543" s="1" t="n">
        <v>46299</v>
      </c>
      <c r="F543" t="inlineStr">
        <is>
          <t>BLEKINGE LÄN</t>
        </is>
      </c>
      <c r="G543" t="inlineStr">
        <is>
          <t>KARLSKRONA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46299</v>
      </c>
      <c r="F544" t="inlineStr">
        <is>
          <t>BLEKINGE LÄN</t>
        </is>
      </c>
      <c r="G544" t="inlineStr">
        <is>
          <t>KARLSKRONA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46299</v>
      </c>
      <c r="F545" t="inlineStr">
        <is>
          <t>BLEKINGE LÄN</t>
        </is>
      </c>
      <c r="G545" t="inlineStr">
        <is>
          <t>KARLSKRONA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45538</v>
      </c>
      <c r="E546" s="1" t="n">
        <v>46299</v>
      </c>
      <c r="F546" t="inlineStr">
        <is>
          <t>BLEKINGE LÄN</t>
        </is>
      </c>
      <c r="G546" t="inlineStr">
        <is>
          <t>KARLSKRONA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45170</v>
      </c>
      <c r="E547" s="1" t="n">
        <v>46299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46299</v>
      </c>
      <c r="F548" t="inlineStr">
        <is>
          <t>BLEKINGE LÄN</t>
        </is>
      </c>
      <c r="G548" t="inlineStr">
        <is>
          <t>KARLSKRONA</t>
        </is>
      </c>
      <c r="I548" t="n">
        <v>11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58627-2023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45251</v>
      </c>
      <c r="E549" s="1" t="n">
        <v>46299</v>
      </c>
      <c r="F549" t="inlineStr">
        <is>
          <t>BLEKINGE LÄN</t>
        </is>
      </c>
      <c r="G549" t="inlineStr">
        <is>
          <t>KARLSKRONA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11630-2022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44631</v>
      </c>
      <c r="E550" s="1" t="n">
        <v>46299</v>
      </c>
      <c r="F550" t="inlineStr">
        <is>
          <t>BLEKINGE LÄN</t>
        </is>
      </c>
      <c r="G550" t="inlineStr">
        <is>
          <t>KARLSKRONA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45463</v>
      </c>
      <c r="E551" s="1" t="n">
        <v>46299</v>
      </c>
      <c r="F551" t="inlineStr">
        <is>
          <t>BLEKINGE LÄN</t>
        </is>
      </c>
      <c r="G551" t="inlineStr">
        <is>
          <t>KARLSKRONA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45463</v>
      </c>
      <c r="E552" s="1" t="n">
        <v>46299</v>
      </c>
      <c r="F552" t="inlineStr">
        <is>
          <t>BLEKINGE LÄN</t>
        </is>
      </c>
      <c r="G552" t="inlineStr">
        <is>
          <t>KARLSKRONA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46299</v>
      </c>
      <c r="F553" t="inlineStr">
        <is>
          <t>BLEKINGE LÄN</t>
        </is>
      </c>
      <c r="G553" t="inlineStr">
        <is>
          <t>KARLSKRONA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45057</v>
      </c>
      <c r="E554" s="1" t="n">
        <v>46299</v>
      </c>
      <c r="F554" t="inlineStr">
        <is>
          <t>BLEKINGE LÄN</t>
        </is>
      </c>
      <c r="G554" t="inlineStr">
        <is>
          <t>KARLSKRONA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29583-2022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44754</v>
      </c>
      <c r="E555" s="1" t="n">
        <v>46299</v>
      </c>
      <c r="F555" t="inlineStr">
        <is>
          <t>BLEKINGE LÄN</t>
        </is>
      </c>
      <c r="G555" t="inlineStr">
        <is>
          <t>KARLSKRONA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46299</v>
      </c>
      <c r="F556" t="inlineStr">
        <is>
          <t>BLEKINGE LÄN</t>
        </is>
      </c>
      <c r="G556" t="inlineStr">
        <is>
          <t>KARLSKRONA</t>
        </is>
      </c>
      <c r="I556" t="n">
        <v>23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46299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45009</v>
      </c>
      <c r="E558" s="1" t="n">
        <v>46299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46299</v>
      </c>
      <c r="F559" t="inlineStr">
        <is>
          <t>BLEKINGE LÄN</t>
        </is>
      </c>
      <c r="G559" t="inlineStr">
        <is>
          <t>KARLSKRONA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45455</v>
      </c>
      <c r="E560" s="1" t="n">
        <v>46299</v>
      </c>
      <c r="F560" t="inlineStr">
        <is>
          <t>BLEKINGE LÄN</t>
        </is>
      </c>
      <c r="G560" t="inlineStr">
        <is>
          <t>KARLSKRONA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45838</v>
      </c>
      <c r="E561" s="1" t="n">
        <v>46299</v>
      </c>
      <c r="F561" t="inlineStr">
        <is>
          <t>BLEKINGE LÄN</t>
        </is>
      </c>
      <c r="G561" t="inlineStr">
        <is>
          <t>KARLSKRONA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45238</v>
      </c>
      <c r="E562" s="1" t="n">
        <v>46299</v>
      </c>
      <c r="F562" t="inlineStr">
        <is>
          <t>BLEKINGE LÄN</t>
        </is>
      </c>
      <c r="G562" t="inlineStr">
        <is>
          <t>KARLSKRONA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64490-2021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44511</v>
      </c>
      <c r="E563" s="1" t="n">
        <v>46299</v>
      </c>
      <c r="F563" t="inlineStr">
        <is>
          <t>BLEKINGE LÄN</t>
        </is>
      </c>
      <c r="G563" t="inlineStr">
        <is>
          <t>KARLSKRONA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46299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44580</v>
      </c>
      <c r="E565" s="1" t="n">
        <v>46299</v>
      </c>
      <c r="F565" t="inlineStr">
        <is>
          <t>BLEKINGE LÄN</t>
        </is>
      </c>
      <c r="G565" t="inlineStr">
        <is>
          <t>KARLSKRONA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46299</v>
      </c>
      <c r="F566" t="inlineStr">
        <is>
          <t>BLEKINGE LÄN</t>
        </is>
      </c>
      <c r="G566" t="inlineStr">
        <is>
          <t>KARLSKRONA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46299</v>
      </c>
      <c r="F567" t="inlineStr">
        <is>
          <t>BLEKINGE LÄN</t>
        </is>
      </c>
      <c r="G567" t="inlineStr">
        <is>
          <t>KARLSKRONA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46299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9153-2026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46299</v>
      </c>
      <c r="F569" t="inlineStr">
        <is>
          <t>BLEKINGE LÄN</t>
        </is>
      </c>
      <c r="G569" t="inlineStr">
        <is>
          <t>KARLSKRONA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45113</v>
      </c>
      <c r="E570" s="1" t="n">
        <v>46299</v>
      </c>
      <c r="F570" t="inlineStr">
        <is>
          <t>BLEKINGE LÄN</t>
        </is>
      </c>
      <c r="G570" t="inlineStr">
        <is>
          <t>KARLSKRONA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46299</v>
      </c>
      <c r="F571" t="inlineStr">
        <is>
          <t>BLEKINGE LÄN</t>
        </is>
      </c>
      <c r="G571" t="inlineStr">
        <is>
          <t>KARLSKRONA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62111-2022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44920</v>
      </c>
      <c r="E572" s="1" t="n">
        <v>46299</v>
      </c>
      <c r="F572" t="inlineStr">
        <is>
          <t>BLEKINGE LÄN</t>
        </is>
      </c>
      <c r="G572" t="inlineStr">
        <is>
          <t>KARLSKRONA</t>
        </is>
      </c>
      <c r="I572" t="n">
        <v>25.5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46299</v>
      </c>
      <c r="F573" t="inlineStr">
        <is>
          <t>BLEKINGE LÄN</t>
        </is>
      </c>
      <c r="G573" t="inlineStr">
        <is>
          <t>KARLSKRONA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20656-2023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45055</v>
      </c>
      <c r="E574" s="1" t="n">
        <v>46299</v>
      </c>
      <c r="F574" t="inlineStr">
        <is>
          <t>BLEKINGE LÄN</t>
        </is>
      </c>
      <c r="G574" t="inlineStr">
        <is>
          <t>KARLSKRONA</t>
        </is>
      </c>
      <c r="I574" t="n">
        <v>10.6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27277-2026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46188</v>
      </c>
      <c r="E575" s="1" t="n">
        <v>46299</v>
      </c>
      <c r="F575" t="inlineStr">
        <is>
          <t>BLEKINGE LÄN</t>
        </is>
      </c>
      <c r="G575" t="inlineStr">
        <is>
          <t>KARLSKRONA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46299</v>
      </c>
      <c r="F576" t="inlineStr">
        <is>
          <t>BLEKINGE LÄN</t>
        </is>
      </c>
      <c r="G576" t="inlineStr">
        <is>
          <t>KARLSKRONA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46299</v>
      </c>
      <c r="F577" t="inlineStr">
        <is>
          <t>BLEKINGE LÄN</t>
        </is>
      </c>
      <c r="G577" t="inlineStr">
        <is>
          <t>KARLSKRONA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72478-2021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44545</v>
      </c>
      <c r="E578" s="1" t="n">
        <v>46299</v>
      </c>
      <c r="F578" t="inlineStr">
        <is>
          <t>BLEKINGE LÄN</t>
        </is>
      </c>
      <c r="G578" t="inlineStr">
        <is>
          <t>KARLSKRONA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46299</v>
      </c>
      <c r="F579" t="inlineStr">
        <is>
          <t>BLEKINGE LÄN</t>
        </is>
      </c>
      <c r="G579" t="inlineStr">
        <is>
          <t>KARLSKRONA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11253-2023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46299</v>
      </c>
      <c r="F580" t="inlineStr">
        <is>
          <t>BLEKINGE LÄN</t>
        </is>
      </c>
      <c r="G580" t="inlineStr">
        <is>
          <t>KARLSKRONA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46269</v>
      </c>
      <c r="E581" s="1" t="n">
        <v>46299</v>
      </c>
      <c r="F581" t="inlineStr">
        <is>
          <t>BLEKINGE LÄN</t>
        </is>
      </c>
      <c r="G581" t="inlineStr">
        <is>
          <t>KARLSKRONA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44960</v>
      </c>
      <c r="E582" s="1" t="n">
        <v>46299</v>
      </c>
      <c r="F582" t="inlineStr">
        <is>
          <t>BLEKINGE LÄN</t>
        </is>
      </c>
      <c r="G582" t="inlineStr">
        <is>
          <t>KARLSKRONA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46299</v>
      </c>
      <c r="F583" t="inlineStr">
        <is>
          <t>BLEKINGE LÄN</t>
        </is>
      </c>
      <c r="G583" t="inlineStr">
        <is>
          <t>KARLSKRONA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64056-2023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46299</v>
      </c>
      <c r="F584" t="inlineStr">
        <is>
          <t>BLEKINGE LÄN</t>
        </is>
      </c>
      <c r="G584" t="inlineStr">
        <is>
          <t>KARLSKRONA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13377-2024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45387</v>
      </c>
      <c r="E585" s="1" t="n">
        <v>46299</v>
      </c>
      <c r="F585" t="inlineStr">
        <is>
          <t>BLEKINGE LÄN</t>
        </is>
      </c>
      <c r="G585" t="inlineStr">
        <is>
          <t>KARLSKRONA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46270</v>
      </c>
      <c r="E586" s="1" t="n">
        <v>46299</v>
      </c>
      <c r="F586" t="inlineStr">
        <is>
          <t>BLEKINGE LÄN</t>
        </is>
      </c>
      <c r="G586" t="inlineStr">
        <is>
          <t>KARLSKRONA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36639-2026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46299</v>
      </c>
      <c r="F587" t="inlineStr">
        <is>
          <t>BLEKINGE LÄN</t>
        </is>
      </c>
      <c r="G587" t="inlineStr">
        <is>
          <t>KARLSKRONA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45080</v>
      </c>
      <c r="E588" s="1" t="n">
        <v>46299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46299</v>
      </c>
      <c r="F589" t="inlineStr">
        <is>
          <t>BLEKINGE LÄN</t>
        </is>
      </c>
      <c r="G589" t="inlineStr">
        <is>
          <t>KARLSKRONA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57841-2023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45247</v>
      </c>
      <c r="E590" s="1" t="n">
        <v>46299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46274</v>
      </c>
      <c r="E591" s="1" t="n">
        <v>46299</v>
      </c>
      <c r="F591" t="inlineStr">
        <is>
          <t>BLEKINGE LÄN</t>
        </is>
      </c>
      <c r="G591" t="inlineStr">
        <is>
          <t>KARLSKRONA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45105</v>
      </c>
      <c r="E592" s="1" t="n">
        <v>46299</v>
      </c>
      <c r="F592" t="inlineStr">
        <is>
          <t>BLEKINGE LÄN</t>
        </is>
      </c>
      <c r="G592" t="inlineStr">
        <is>
          <t>KARLSKRONA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29361-2023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45106</v>
      </c>
      <c r="E593" s="1" t="n">
        <v>46299</v>
      </c>
      <c r="F593" t="inlineStr">
        <is>
          <t>BLEKINGE LÄN</t>
        </is>
      </c>
      <c r="G593" t="inlineStr">
        <is>
          <t>KARLSKRONA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45499</v>
      </c>
      <c r="E594" s="1" t="n">
        <v>46299</v>
      </c>
      <c r="F594" t="inlineStr">
        <is>
          <t>BLEKINGE LÄN</t>
        </is>
      </c>
      <c r="G594" t="inlineStr">
        <is>
          <t>KARLSKRONA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39121-2023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45165</v>
      </c>
      <c r="E595" s="1" t="n">
        <v>46299</v>
      </c>
      <c r="F595" t="inlineStr">
        <is>
          <t>BLEKINGE LÄN</t>
        </is>
      </c>
      <c r="G595" t="inlineStr">
        <is>
          <t>KARLSKRONA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46280</v>
      </c>
      <c r="E596" s="1" t="n">
        <v>46299</v>
      </c>
      <c r="F596" t="inlineStr">
        <is>
          <t>BLEKINGE LÄN</t>
        </is>
      </c>
      <c r="G596" t="inlineStr">
        <is>
          <t>KARLSKRONA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34137-2024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45524</v>
      </c>
      <c r="E597" s="1" t="n">
        <v>46299</v>
      </c>
      <c r="F597" t="inlineStr">
        <is>
          <t>BLEKINGE LÄN</t>
        </is>
      </c>
      <c r="G597" t="inlineStr">
        <is>
          <t>KARLSKRONA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46299</v>
      </c>
      <c r="F598" t="inlineStr">
        <is>
          <t>BLEKINGE LÄN</t>
        </is>
      </c>
      <c r="G598" t="inlineStr">
        <is>
          <t>KARLSKRONA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50614-2022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44866</v>
      </c>
      <c r="E599" s="1" t="n">
        <v>46299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46299</v>
      </c>
      <c r="F600" t="inlineStr">
        <is>
          <t>BLEKINGE LÄN</t>
        </is>
      </c>
      <c r="G600" t="inlineStr">
        <is>
          <t>KARLSKRONA</t>
        </is>
      </c>
      <c r="I600" t="n">
        <v>13.2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46299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46299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46283</v>
      </c>
      <c r="E603" s="1" t="n">
        <v>46299</v>
      </c>
      <c r="F603" t="inlineStr">
        <is>
          <t>BLEKINGE LÄN</t>
        </is>
      </c>
      <c r="G603" t="inlineStr">
        <is>
          <t>KARLSKRONA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46299</v>
      </c>
      <c r="F604" t="inlineStr">
        <is>
          <t>BLEKINGE LÄN</t>
        </is>
      </c>
      <c r="G604" t="inlineStr">
        <is>
          <t>KARLSKRONA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46299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60901-2022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46299</v>
      </c>
      <c r="F606" t="inlineStr">
        <is>
          <t>BLEKINGE LÄN</t>
        </is>
      </c>
      <c r="G606" t="inlineStr">
        <is>
          <t>KARLSKRONA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45321</v>
      </c>
      <c r="E607" s="1" t="n">
        <v>46299</v>
      </c>
      <c r="F607" t="inlineStr">
        <is>
          <t>BLEKINGE LÄN</t>
        </is>
      </c>
      <c r="G607" t="inlineStr">
        <is>
          <t>KARLSKRONA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45727</v>
      </c>
      <c r="E608" s="1" t="n">
        <v>46299</v>
      </c>
      <c r="F608" t="inlineStr">
        <is>
          <t>BLEKINGE LÄN</t>
        </is>
      </c>
      <c r="G608" t="inlineStr">
        <is>
          <t>KARLSKRONA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38788-2025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46299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46299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46299</v>
      </c>
      <c r="F611" t="inlineStr">
        <is>
          <t>BLEKINGE LÄN</t>
        </is>
      </c>
      <c r="G611" t="inlineStr">
        <is>
          <t>KARLSKRONA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46299</v>
      </c>
      <c r="F612" t="inlineStr">
        <is>
          <t>BLEKINGE LÄN</t>
        </is>
      </c>
      <c r="G612" t="inlineStr">
        <is>
          <t>KARLSKRONA</t>
        </is>
      </c>
      <c r="I612" t="n">
        <v>11.8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45754</v>
      </c>
      <c r="E613" s="1" t="n">
        <v>46299</v>
      </c>
      <c r="F613" t="inlineStr">
        <is>
          <t>BLEKINGE LÄN</t>
        </is>
      </c>
      <c r="G613" t="inlineStr">
        <is>
          <t>KARLSKRONA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38783-2025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45887</v>
      </c>
      <c r="E614" s="1" t="n">
        <v>46299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45127</v>
      </c>
      <c r="E615" s="1" t="n">
        <v>46299</v>
      </c>
      <c r="F615" t="inlineStr">
        <is>
          <t>BLEKINGE LÄN</t>
        </is>
      </c>
      <c r="G615" t="inlineStr">
        <is>
          <t>KARLSKRONA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45393</v>
      </c>
      <c r="E616" s="1" t="n">
        <v>46299</v>
      </c>
      <c r="F616" t="inlineStr">
        <is>
          <t>BLEKINGE LÄN</t>
        </is>
      </c>
      <c r="G616" t="inlineStr">
        <is>
          <t>KARLSKRONA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56600-2023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45238</v>
      </c>
      <c r="E617" s="1" t="n">
        <v>46299</v>
      </c>
      <c r="F617" t="inlineStr">
        <is>
          <t>BLEKINGE LÄN</t>
        </is>
      </c>
      <c r="G617" t="inlineStr">
        <is>
          <t>KARLSKRONA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24155-2024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45456</v>
      </c>
      <c r="E618" s="1" t="n">
        <v>46299</v>
      </c>
      <c r="F618" t="inlineStr">
        <is>
          <t>BLEKINGE LÄN</t>
        </is>
      </c>
      <c r="G618" t="inlineStr">
        <is>
          <t>KARLSKRONA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45495</v>
      </c>
      <c r="E619" s="1" t="n">
        <v>46299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45334</v>
      </c>
      <c r="E620" s="1" t="n">
        <v>46299</v>
      </c>
      <c r="F620" t="inlineStr">
        <is>
          <t>BLEKINGE LÄN</t>
        </is>
      </c>
      <c r="G620" t="inlineStr">
        <is>
          <t>KARLSKRONA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32577-2026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46299</v>
      </c>
      <c r="F621" t="inlineStr">
        <is>
          <t>BLEKINGE LÄN</t>
        </is>
      </c>
      <c r="G621" t="inlineStr">
        <is>
          <t>KARLSKRONA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46299</v>
      </c>
      <c r="F622" t="inlineStr">
        <is>
          <t>BLEKINGE LÄN</t>
        </is>
      </c>
      <c r="G622" t="inlineStr">
        <is>
          <t>KARLSKRONA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44869</v>
      </c>
      <c r="E623" s="1" t="n">
        <v>46299</v>
      </c>
      <c r="F623" t="inlineStr">
        <is>
          <t>BLEKINGE LÄN</t>
        </is>
      </c>
      <c r="G623" t="inlineStr">
        <is>
          <t>KARLSKRONA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45662</v>
      </c>
      <c r="E624" s="1" t="n">
        <v>46299</v>
      </c>
      <c r="F624" t="inlineStr">
        <is>
          <t>BLEKINGE LÄN</t>
        </is>
      </c>
      <c r="G624" t="inlineStr">
        <is>
          <t>KARLSKRONA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45923</v>
      </c>
      <c r="E625" s="1" t="n">
        <v>46299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47336-2023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45202</v>
      </c>
      <c r="E626" s="1" t="n">
        <v>46299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45019</v>
      </c>
      <c r="E627" s="1" t="n">
        <v>46299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60071-2022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44909</v>
      </c>
      <c r="E628" s="1" t="n">
        <v>46299</v>
      </c>
      <c r="F628" t="inlineStr">
        <is>
          <t>BLEKINGE LÄN</t>
        </is>
      </c>
      <c r="G628" t="inlineStr">
        <is>
          <t>KARLSKRONA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26796-2023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45093</v>
      </c>
      <c r="E629" s="1" t="n">
        <v>46299</v>
      </c>
      <c r="F629" t="inlineStr">
        <is>
          <t>BLEKINGE LÄN</t>
        </is>
      </c>
      <c r="G629" t="inlineStr">
        <is>
          <t>KARLSKRONA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42861-2023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45182</v>
      </c>
      <c r="E630" s="1" t="n">
        <v>46299</v>
      </c>
      <c r="F630" t="inlineStr">
        <is>
          <t>BLEKINGE LÄN</t>
        </is>
      </c>
      <c r="G630" t="inlineStr">
        <is>
          <t>KARLSKRONA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13922-2025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45737</v>
      </c>
      <c r="E631" s="1" t="n">
        <v>46299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55617-2025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45971</v>
      </c>
      <c r="E632" s="1" t="n">
        <v>46299</v>
      </c>
      <c r="F632" t="inlineStr">
        <is>
          <t>BLEKINGE LÄN</t>
        </is>
      </c>
      <c r="G632" t="inlineStr">
        <is>
          <t>KARLSKRONA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45531</v>
      </c>
      <c r="E633" s="1" t="n">
        <v>46299</v>
      </c>
      <c r="F633" t="inlineStr">
        <is>
          <t>BLEKINGE LÄN</t>
        </is>
      </c>
      <c r="G633" t="inlineStr">
        <is>
          <t>KARLSKRONA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9745-2024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45362</v>
      </c>
      <c r="E634" s="1" t="n">
        <v>46299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56335-2023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46299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45358</v>
      </c>
      <c r="E636" s="1" t="n">
        <v>46299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45001</v>
      </c>
      <c r="E637" s="1" t="n">
        <v>46299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39073-2026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46299</v>
      </c>
      <c r="F638" t="inlineStr">
        <is>
          <t>BLEKINGE LÄN</t>
        </is>
      </c>
      <c r="G638" t="inlineStr">
        <is>
          <t>KARLSKRONA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55374-2023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46299</v>
      </c>
      <c r="F639" t="inlineStr">
        <is>
          <t>BLEKINGE LÄN</t>
        </is>
      </c>
      <c r="G639" t="inlineStr">
        <is>
          <t>KARLSKRONA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44991</v>
      </c>
      <c r="E640" s="1" t="n">
        <v>46299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10629-2022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44624</v>
      </c>
      <c r="E641" s="1" t="n">
        <v>46299</v>
      </c>
      <c r="F641" t="inlineStr">
        <is>
          <t>BLEKINGE LÄN</t>
        </is>
      </c>
      <c r="G641" t="inlineStr">
        <is>
          <t>KARLSKRONA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44939</v>
      </c>
      <c r="E642" s="1" t="n">
        <v>46299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44939</v>
      </c>
      <c r="E643" s="1" t="n">
        <v>46299</v>
      </c>
      <c r="F643" t="inlineStr">
        <is>
          <t>BLEKINGE LÄN</t>
        </is>
      </c>
      <c r="G643" t="inlineStr">
        <is>
          <t>KARLSKRONA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45393</v>
      </c>
      <c r="E644" s="1" t="n">
        <v>46299</v>
      </c>
      <c r="F644" t="inlineStr">
        <is>
          <t>BLEKINGE LÄN</t>
        </is>
      </c>
      <c r="G644" t="inlineStr">
        <is>
          <t>KARLSKRONA</t>
        </is>
      </c>
      <c r="I644" t="n">
        <v>12.6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42335-2023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45180</v>
      </c>
      <c r="E645" s="1" t="n">
        <v>46299</v>
      </c>
      <c r="F645" t="inlineStr">
        <is>
          <t>BLEKINGE LÄN</t>
        </is>
      </c>
      <c r="G645" t="inlineStr">
        <is>
          <t>KARLSKRONA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46299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46299</v>
      </c>
      <c r="F647" t="inlineStr">
        <is>
          <t>BLEKINGE LÄN</t>
        </is>
      </c>
      <c r="G647" t="inlineStr">
        <is>
          <t>KARLSKRONA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46299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37477-2026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46275</v>
      </c>
      <c r="E649" s="1" t="n">
        <v>46299</v>
      </c>
      <c r="F649" t="inlineStr">
        <is>
          <t>BLEKINGE LÄN</t>
        </is>
      </c>
      <c r="G649" t="inlineStr">
        <is>
          <t>KARLSKRONA</t>
        </is>
      </c>
      <c r="H649" t="inlineStr">
        <is>
          <t>Övriga statliga verk och myndigheter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  <c r="X649">
        <f>HYPERLINK("https://klasma.github.io/Logging_1080/kartor/A 37477-2026 karta.png", "A 37477-2026")</f>
        <v/>
      </c>
      <c r="Y649">
        <f>HYPERLINK("https://klasma.github.io/Logging_1080/kartor_geotiff/A 37477-2026 georefererad karta.tif", "A 37477-2026")</f>
        <v/>
      </c>
      <c r="AA649">
        <f>HYPERLINK("https://klasma.github.io/Logging_1080/klagomål/A 37477-2026 FSC-klagomål.docx", "A 37477-2026")</f>
        <v/>
      </c>
      <c r="AB649">
        <f>HYPERLINK("https://klasma.github.io/Logging_1080/klagomålsmail/A 37477-2026 FSC-klagomål mail.docx", "A 37477-2026")</f>
        <v/>
      </c>
      <c r="AC649">
        <f>HYPERLINK("https://klasma.github.io/Logging_1080/tillsyn/A 37477-2026 tillsynsbegäran.docx", "A 37477-2026")</f>
        <v/>
      </c>
      <c r="AD649">
        <f>HYPERLINK("https://klasma.github.io/Logging_1080/tillsynsmail/A 37477-2026 tillsynsbegäran mail.docx", "A 37477-2026")</f>
        <v/>
      </c>
    </row>
    <row r="650" ht="15" customHeight="1">
      <c r="A650" t="inlineStr">
        <is>
          <t>A 22147-2023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45069</v>
      </c>
      <c r="E650" s="1" t="n">
        <v>46299</v>
      </c>
      <c r="F650" t="inlineStr">
        <is>
          <t>BLEKINGE LÄN</t>
        </is>
      </c>
      <c r="G650" t="inlineStr">
        <is>
          <t>KARLSKRONA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26605-2023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45092</v>
      </c>
      <c r="E651" s="1" t="n">
        <v>46299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46241</v>
      </c>
      <c r="E652" s="1" t="n">
        <v>46299</v>
      </c>
      <c r="F652" t="inlineStr">
        <is>
          <t>BLEKINGE LÄN</t>
        </is>
      </c>
      <c r="G652" t="inlineStr">
        <is>
          <t>KARLSKRONA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47992-2023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45204</v>
      </c>
      <c r="E653" s="1" t="n">
        <v>46299</v>
      </c>
      <c r="F653" t="inlineStr">
        <is>
          <t>BLEKINGE LÄN</t>
        </is>
      </c>
      <c r="G653" t="inlineStr">
        <is>
          <t>KARLSKRONA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45013</v>
      </c>
      <c r="E654" s="1" t="n">
        <v>46299</v>
      </c>
      <c r="F654" t="inlineStr">
        <is>
          <t>BLEKINGE LÄN</t>
        </is>
      </c>
      <c r="G654" t="inlineStr">
        <is>
          <t>KARLSKRONA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38619-2023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45162</v>
      </c>
      <c r="E655" s="1" t="n">
        <v>46299</v>
      </c>
      <c r="F655" t="inlineStr">
        <is>
          <t>BLEKINGE LÄN</t>
        </is>
      </c>
      <c r="G655" t="inlineStr">
        <is>
          <t>KARLSKRONA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38185-2023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45161</v>
      </c>
      <c r="E656" s="1" t="n">
        <v>46299</v>
      </c>
      <c r="F656" t="inlineStr">
        <is>
          <t>BLEKINGE LÄN</t>
        </is>
      </c>
      <c r="G656" t="inlineStr">
        <is>
          <t>KARLSKRONA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30660-2024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45495</v>
      </c>
      <c r="E657" s="1" t="n">
        <v>46299</v>
      </c>
      <c r="F657" t="inlineStr">
        <is>
          <t>BLEKINGE LÄN</t>
        </is>
      </c>
      <c r="G657" t="inlineStr">
        <is>
          <t>KARLSKRONA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46069</v>
      </c>
      <c r="E658" s="1" t="n">
        <v>46299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46299</v>
      </c>
      <c r="F659" t="inlineStr">
        <is>
          <t>BLEKINGE LÄN</t>
        </is>
      </c>
      <c r="G659" t="inlineStr">
        <is>
          <t>KARLSKRONA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46299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6980-2023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44967</v>
      </c>
      <c r="E661" s="1" t="n">
        <v>46299</v>
      </c>
      <c r="F661" t="inlineStr">
        <is>
          <t>BLEKINGE LÄN</t>
        </is>
      </c>
      <c r="G661" t="inlineStr">
        <is>
          <t>KARLSKRONA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45698</v>
      </c>
      <c r="E662" s="1" t="n">
        <v>46299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42174-2023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45178</v>
      </c>
      <c r="E663" s="1" t="n">
        <v>46299</v>
      </c>
      <c r="F663" t="inlineStr">
        <is>
          <t>BLEKINGE LÄN</t>
        </is>
      </c>
      <c r="G663" t="inlineStr">
        <is>
          <t>KARLSKRONA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44585</v>
      </c>
      <c r="E664" s="1" t="n">
        <v>46299</v>
      </c>
      <c r="F664" t="inlineStr">
        <is>
          <t>BLEKINGE LÄN</t>
        </is>
      </c>
      <c r="G664" t="inlineStr">
        <is>
          <t>KARLSKRONA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46299</v>
      </c>
      <c r="F665" t="inlineStr">
        <is>
          <t>BLEKINGE LÄN</t>
        </is>
      </c>
      <c r="G665" t="inlineStr">
        <is>
          <t>KARLSKRONA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46246</v>
      </c>
      <c r="E666" s="1" t="n">
        <v>46299</v>
      </c>
      <c r="F666" t="inlineStr">
        <is>
          <t>BLEKINGE LÄN</t>
        </is>
      </c>
      <c r="G666" t="inlineStr">
        <is>
          <t>KARLSKRONA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46299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46299</v>
      </c>
      <c r="F668" t="inlineStr">
        <is>
          <t>BLEKINGE LÄN</t>
        </is>
      </c>
      <c r="G668" t="inlineStr">
        <is>
          <t>KARLSKRONA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58040-2022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44893</v>
      </c>
      <c r="E669" s="1" t="n">
        <v>46299</v>
      </c>
      <c r="F669" t="inlineStr">
        <is>
          <t>BLEKINGE LÄN</t>
        </is>
      </c>
      <c r="G669" t="inlineStr">
        <is>
          <t>KARLSKRONA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46299</v>
      </c>
      <c r="F670" t="inlineStr">
        <is>
          <t>BLEKINGE LÄN</t>
        </is>
      </c>
      <c r="G670" t="inlineStr">
        <is>
          <t>KARLSKRONA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46299</v>
      </c>
      <c r="F671" t="inlineStr">
        <is>
          <t>BLEKINGE LÄN</t>
        </is>
      </c>
      <c r="G671" t="inlineStr">
        <is>
          <t>KARLSKRONA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31153-2026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46299</v>
      </c>
      <c r="F672" t="inlineStr">
        <is>
          <t>BLEKINGE LÄN</t>
        </is>
      </c>
      <c r="G672" t="inlineStr">
        <is>
          <t>KARLSKRONA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7129-2024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45344</v>
      </c>
      <c r="E673" s="1" t="n">
        <v>46299</v>
      </c>
      <c r="F673" t="inlineStr">
        <is>
          <t>BLEKINGE LÄN</t>
        </is>
      </c>
      <c r="G673" t="inlineStr">
        <is>
          <t>KARLSKRONA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46246</v>
      </c>
      <c r="E674" s="1" t="n">
        <v>46299</v>
      </c>
      <c r="F674" t="inlineStr">
        <is>
          <t>BLEKINGE LÄN</t>
        </is>
      </c>
      <c r="G674" t="inlineStr">
        <is>
          <t>KARLSKRONA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46299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46299</v>
      </c>
      <c r="F676" t="inlineStr">
        <is>
          <t>BLEKINGE LÄN</t>
        </is>
      </c>
      <c r="G676" t="inlineStr">
        <is>
          <t>KARLSKRONA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45673</v>
      </c>
      <c r="E677" s="1" t="n">
        <v>46299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46288</v>
      </c>
      <c r="E678" s="1" t="n">
        <v>46299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45309</v>
      </c>
      <c r="E679" s="1" t="n">
        <v>46299</v>
      </c>
      <c r="F679" t="inlineStr">
        <is>
          <t>BLEKINGE LÄN</t>
        </is>
      </c>
      <c r="G679" t="inlineStr">
        <is>
          <t>KARLSKRONA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45142</v>
      </c>
      <c r="E680" s="1" t="n">
        <v>46299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46246</v>
      </c>
      <c r="E681" s="1" t="n">
        <v>46299</v>
      </c>
      <c r="F681" t="inlineStr">
        <is>
          <t>BLEKINGE LÄN</t>
        </is>
      </c>
      <c r="G681" t="inlineStr">
        <is>
          <t>KARLSKRONA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44628-2022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44840</v>
      </c>
      <c r="E682" s="1" t="n">
        <v>46299</v>
      </c>
      <c r="F682" t="inlineStr">
        <is>
          <t>BLEKINGE LÄN</t>
        </is>
      </c>
      <c r="G682" t="inlineStr">
        <is>
          <t>KARLSKRONA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39870-2026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46299</v>
      </c>
      <c r="F683" t="inlineStr">
        <is>
          <t>BLEKINGE LÄN</t>
        </is>
      </c>
      <c r="G683" t="inlineStr">
        <is>
          <t>KARLSKRONA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45483-2024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45577</v>
      </c>
      <c r="E684" s="1" t="n">
        <v>46299</v>
      </c>
      <c r="F684" t="inlineStr">
        <is>
          <t>BLEKINGE LÄN</t>
        </is>
      </c>
      <c r="G684" t="inlineStr">
        <is>
          <t>KARLSKRONA</t>
        </is>
      </c>
      <c r="I684" t="n">
        <v>8.4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45094</v>
      </c>
      <c r="E685" s="1" t="n">
        <v>46299</v>
      </c>
      <c r="F685" t="inlineStr">
        <is>
          <t>BLEKINGE LÄN</t>
        </is>
      </c>
      <c r="G685" t="inlineStr">
        <is>
          <t>KARLSKRONA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48739-2023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45208</v>
      </c>
      <c r="E686" s="1" t="n">
        <v>46299</v>
      </c>
      <c r="F686" t="inlineStr">
        <is>
          <t>BLEKINGE LÄN</t>
        </is>
      </c>
      <c r="G686" t="inlineStr">
        <is>
          <t>KARLSKRONA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45531</v>
      </c>
      <c r="E687" s="1" t="n">
        <v>46299</v>
      </c>
      <c r="F687" t="inlineStr">
        <is>
          <t>BLEKINGE LÄN</t>
        </is>
      </c>
      <c r="G687" t="inlineStr">
        <is>
          <t>KARLSKRONA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57710-2025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45981</v>
      </c>
      <c r="E688" s="1" t="n">
        <v>46299</v>
      </c>
      <c r="F688" t="inlineStr">
        <is>
          <t>BLEKINGE LÄN</t>
        </is>
      </c>
      <c r="G688" t="inlineStr">
        <is>
          <t>KARLSKRONA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46299</v>
      </c>
      <c r="F689" t="inlineStr">
        <is>
          <t>BLEKINGE LÄN</t>
        </is>
      </c>
      <c r="G689" t="inlineStr">
        <is>
          <t>KARLSKRONA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46299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45140</v>
      </c>
      <c r="E691" s="1" t="n">
        <v>46299</v>
      </c>
      <c r="F691" t="inlineStr">
        <is>
          <t>BLEKINGE LÄN</t>
        </is>
      </c>
      <c r="G691" t="inlineStr">
        <is>
          <t>KARLSKRONA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39865-2026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46299</v>
      </c>
      <c r="F692" t="inlineStr">
        <is>
          <t>BLEKINGE LÄN</t>
        </is>
      </c>
      <c r="G692" t="inlineStr">
        <is>
          <t>KARLSKRONA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45524</v>
      </c>
      <c r="E693" s="1" t="n">
        <v>46299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46299</v>
      </c>
      <c r="F694" t="inlineStr">
        <is>
          <t>BLEKINGE LÄN</t>
        </is>
      </c>
      <c r="G694" t="inlineStr">
        <is>
          <t>KARLSKRONA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50967-2023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45218</v>
      </c>
      <c r="E695" s="1" t="n">
        <v>46299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44757</v>
      </c>
      <c r="E696" s="1" t="n">
        <v>46299</v>
      </c>
      <c r="F696" t="inlineStr">
        <is>
          <t>BLEKINGE LÄN</t>
        </is>
      </c>
      <c r="G696" t="inlineStr">
        <is>
          <t>KARLSKRONA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9763-2022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44619</v>
      </c>
      <c r="E697" s="1" t="n">
        <v>46299</v>
      </c>
      <c r="F697" t="inlineStr">
        <is>
          <t>BLEKINGE LÄN</t>
        </is>
      </c>
      <c r="G697" t="inlineStr">
        <is>
          <t>KARLSKRONA</t>
        </is>
      </c>
      <c r="I697" t="n">
        <v>11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45908-2023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45195</v>
      </c>
      <c r="E698" s="1" t="n">
        <v>46299</v>
      </c>
      <c r="F698" t="inlineStr">
        <is>
          <t>BLEKINGE LÄN</t>
        </is>
      </c>
      <c r="G698" t="inlineStr">
        <is>
          <t>KARLSKRONA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42323-2023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45180</v>
      </c>
      <c r="E699" s="1" t="n">
        <v>46299</v>
      </c>
      <c r="F699" t="inlineStr">
        <is>
          <t>BLEKINGE LÄN</t>
        </is>
      </c>
      <c r="G699" t="inlineStr">
        <is>
          <t>KARLSKRONA</t>
        </is>
      </c>
      <c r="I699" t="n">
        <v>14.7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46294</v>
      </c>
      <c r="E700" s="1" t="n">
        <v>46299</v>
      </c>
      <c r="F700" t="inlineStr">
        <is>
          <t>BLEKINGE LÄN</t>
        </is>
      </c>
      <c r="G700" t="inlineStr">
        <is>
          <t>KARLSKRONA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45637</v>
      </c>
      <c r="E701" s="1" t="n">
        <v>46299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26411-2026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46299</v>
      </c>
      <c r="F702" t="inlineStr">
        <is>
          <t>BLEKINGE LÄN</t>
        </is>
      </c>
      <c r="G702" t="inlineStr">
        <is>
          <t>KARLSKRONA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42532-2023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45181</v>
      </c>
      <c r="E703" s="1" t="n">
        <v>46299</v>
      </c>
      <c r="F703" t="inlineStr">
        <is>
          <t>BLEKINGE LÄN</t>
        </is>
      </c>
      <c r="G703" t="inlineStr">
        <is>
          <t>KARLSKRONA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41201-2022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44825</v>
      </c>
      <c r="E704" s="1" t="n">
        <v>46299</v>
      </c>
      <c r="F704" t="inlineStr">
        <is>
          <t>BLEKINGE LÄN</t>
        </is>
      </c>
      <c r="G704" t="inlineStr">
        <is>
          <t>KARLSKRONA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46294</v>
      </c>
      <c r="E705" s="1" t="n">
        <v>46299</v>
      </c>
      <c r="F705" t="inlineStr">
        <is>
          <t>BLEKINGE LÄN</t>
        </is>
      </c>
      <c r="G705" t="inlineStr">
        <is>
          <t>KARLSKRONA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46299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15456-2025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45747</v>
      </c>
      <c r="E707" s="1" t="n">
        <v>46299</v>
      </c>
      <c r="F707" t="inlineStr">
        <is>
          <t>BLEKINGE LÄN</t>
        </is>
      </c>
      <c r="G707" t="inlineStr">
        <is>
          <t>KARLSKRONA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40261-2026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46294</v>
      </c>
      <c r="E708" s="1" t="n">
        <v>46299</v>
      </c>
      <c r="F708" t="inlineStr">
        <is>
          <t>BLEKINGE LÄN</t>
        </is>
      </c>
      <c r="G708" t="inlineStr">
        <is>
          <t>KARLSKRONA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25975-2023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45090</v>
      </c>
      <c r="E709" s="1" t="n">
        <v>46299</v>
      </c>
      <c r="F709" t="inlineStr">
        <is>
          <t>BLEKINGE LÄN</t>
        </is>
      </c>
      <c r="G709" t="inlineStr">
        <is>
          <t>KARLSKRONA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46299</v>
      </c>
      <c r="F710" t="inlineStr">
        <is>
          <t>BLEKINGE LÄN</t>
        </is>
      </c>
      <c r="G710" t="inlineStr">
        <is>
          <t>KARLSKRONA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51934-2023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45223</v>
      </c>
      <c r="E711" s="1" t="n">
        <v>46299</v>
      </c>
      <c r="F711" t="inlineStr">
        <is>
          <t>BLEKINGE LÄN</t>
        </is>
      </c>
      <c r="G711" t="inlineStr">
        <is>
          <t>KARLSKRONA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46254</v>
      </c>
      <c r="E712" s="1" t="n">
        <v>46299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40579-2023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45170</v>
      </c>
      <c r="E713" s="1" t="n">
        <v>46299</v>
      </c>
      <c r="F713" t="inlineStr">
        <is>
          <t>BLEKINGE LÄN</t>
        </is>
      </c>
      <c r="G713" t="inlineStr">
        <is>
          <t>KARLSKRONA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45042</v>
      </c>
      <c r="E714" s="1" t="n">
        <v>46299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46299</v>
      </c>
      <c r="F715" t="inlineStr">
        <is>
          <t>BLEKINGE LÄN</t>
        </is>
      </c>
      <c r="G715" t="inlineStr">
        <is>
          <t>KARLSKRONA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38392-2023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45162</v>
      </c>
      <c r="E716" s="1" t="n">
        <v>46299</v>
      </c>
      <c r="F716" t="inlineStr">
        <is>
          <t>BLEKINGE LÄN</t>
        </is>
      </c>
      <c r="G716" t="inlineStr">
        <is>
          <t>KARLSKRONA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56539-2022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44893</v>
      </c>
      <c r="E717" s="1" t="n">
        <v>46299</v>
      </c>
      <c r="F717" t="inlineStr">
        <is>
          <t>BLEKINGE LÄN</t>
        </is>
      </c>
      <c r="G717" t="inlineStr">
        <is>
          <t>KARLSKRONA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46299</v>
      </c>
      <c r="F718" t="inlineStr">
        <is>
          <t>BLEKINGE LÄN</t>
        </is>
      </c>
      <c r="G718" t="inlineStr">
        <is>
          <t>KARLSKRONA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40887-2026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46299</v>
      </c>
      <c r="F719" t="inlineStr">
        <is>
          <t>BLEKINGE LÄN</t>
        </is>
      </c>
      <c r="G719" t="inlineStr">
        <is>
          <t>KARLSKRONA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46299</v>
      </c>
      <c r="F720" t="inlineStr">
        <is>
          <t>BLEKINGE LÄN</t>
        </is>
      </c>
      <c r="G720" t="inlineStr">
        <is>
          <t>KARLSKRONA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26490-2023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46299</v>
      </c>
      <c r="F721" t="inlineStr">
        <is>
          <t>BLEKINGE LÄN</t>
        </is>
      </c>
      <c r="G721" t="inlineStr">
        <is>
          <t>KARLSKRONA</t>
        </is>
      </c>
      <c r="I721" t="n">
        <v>10.8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46297</v>
      </c>
      <c r="E722" s="1" t="n">
        <v>46299</v>
      </c>
      <c r="F722" t="inlineStr">
        <is>
          <t>BLEKINGE LÄN</t>
        </is>
      </c>
      <c r="G722" t="inlineStr">
        <is>
          <t>KARLSKRONA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46299</v>
      </c>
      <c r="F723" t="inlineStr">
        <is>
          <t>BLEKINGE LÄN</t>
        </is>
      </c>
      <c r="G723" t="inlineStr">
        <is>
          <t>KARLSKRONA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46294</v>
      </c>
      <c r="E724" s="1" t="n">
        <v>46299</v>
      </c>
      <c r="F724" t="inlineStr">
        <is>
          <t>BLEKINGE LÄN</t>
        </is>
      </c>
      <c r="G724" t="inlineStr">
        <is>
          <t>KARLSKRONA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46254</v>
      </c>
      <c r="E725" s="1" t="n">
        <v>46299</v>
      </c>
      <c r="F725" t="inlineStr">
        <is>
          <t>BLEKINGE LÄN</t>
        </is>
      </c>
      <c r="G725" t="inlineStr">
        <is>
          <t>KARLSKRONA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44930</v>
      </c>
      <c r="E726" s="1" t="n">
        <v>46299</v>
      </c>
      <c r="F726" t="inlineStr">
        <is>
          <t>BLEKINGE LÄN</t>
        </is>
      </c>
      <c r="G726" t="inlineStr">
        <is>
          <t>KARLSKRONA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26486-2023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46299</v>
      </c>
      <c r="F727" t="inlineStr">
        <is>
          <t>BLEKINGE LÄN</t>
        </is>
      </c>
      <c r="G727" t="inlineStr">
        <is>
          <t>KARLSKRONA</t>
        </is>
      </c>
      <c r="I727" t="n">
        <v>8.6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45454</v>
      </c>
      <c r="E728" s="1" t="n">
        <v>46299</v>
      </c>
      <c r="F728" t="inlineStr">
        <is>
          <t>BLEKINGE LÄN</t>
        </is>
      </c>
      <c r="G728" t="inlineStr">
        <is>
          <t>KARLSKRONA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40324-2023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45169</v>
      </c>
      <c r="E729" s="1" t="n">
        <v>46299</v>
      </c>
      <c r="F729" t="inlineStr">
        <is>
          <t>BLEKINGE LÄN</t>
        </is>
      </c>
      <c r="G729" t="inlineStr">
        <is>
          <t>KARLSKRONA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44407-2024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45573</v>
      </c>
      <c r="E730" s="1" t="n">
        <v>46299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45761</v>
      </c>
      <c r="E731" s="1" t="n">
        <v>46299</v>
      </c>
      <c r="F731" t="inlineStr">
        <is>
          <t>BLEKINGE LÄN</t>
        </is>
      </c>
      <c r="G731" t="inlineStr">
        <is>
          <t>KARLSKRONA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65798-2021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44517</v>
      </c>
      <c r="E732" s="1" t="n">
        <v>46299</v>
      </c>
      <c r="F732" t="inlineStr">
        <is>
          <t>BLEKINGE LÄN</t>
        </is>
      </c>
      <c r="G732" t="inlineStr">
        <is>
          <t>KARLSKRONA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16532-2023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45027</v>
      </c>
      <c r="E733" s="1" t="n">
        <v>46299</v>
      </c>
      <c r="F733" t="inlineStr">
        <is>
          <t>BLEKINGE LÄN</t>
        </is>
      </c>
      <c r="G733" t="inlineStr">
        <is>
          <t>KARLSKRONA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45573-2023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45194</v>
      </c>
      <c r="E734" s="1" t="n">
        <v>46299</v>
      </c>
      <c r="F734" t="inlineStr">
        <is>
          <t>BLEKINGE LÄN</t>
        </is>
      </c>
      <c r="G734" t="inlineStr">
        <is>
          <t>KARLSKRONA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45309</v>
      </c>
      <c r="E735" s="1" t="n">
        <v>46299</v>
      </c>
      <c r="F735" t="inlineStr">
        <is>
          <t>BLEKINGE LÄN</t>
        </is>
      </c>
      <c r="G735" t="inlineStr">
        <is>
          <t>KARLSKRONA</t>
        </is>
      </c>
      <c r="I735" t="n">
        <v>8.199999999999999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44700</v>
      </c>
      <c r="E736" s="1" t="n">
        <v>46299</v>
      </c>
      <c r="F736" t="inlineStr">
        <is>
          <t>BLEKINGE LÄN</t>
        </is>
      </c>
      <c r="G736" t="inlineStr">
        <is>
          <t>KARLSKRONA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45674</v>
      </c>
      <c r="E737" s="1" t="n">
        <v>46299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44584-2023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45183</v>
      </c>
      <c r="E738" s="1" t="n">
        <v>46299</v>
      </c>
      <c r="F738" t="inlineStr">
        <is>
          <t>BLEKINGE LÄN</t>
        </is>
      </c>
      <c r="G738" t="inlineStr">
        <is>
          <t>KARLSKRONA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7066-2022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44603</v>
      </c>
      <c r="E739" s="1" t="n">
        <v>46299</v>
      </c>
      <c r="F739" t="inlineStr">
        <is>
          <t>BLEKINGE LÄN</t>
        </is>
      </c>
      <c r="G739" t="inlineStr">
        <is>
          <t>KARLSKRONA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52701-2023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45225</v>
      </c>
      <c r="E740" s="1" t="n">
        <v>46299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45393</v>
      </c>
      <c r="E741" s="1" t="n">
        <v>46299</v>
      </c>
      <c r="F741" t="inlineStr">
        <is>
          <t>BLEKINGE LÄN</t>
        </is>
      </c>
      <c r="G741" t="inlineStr">
        <is>
          <t>KARLSKRONA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9306-2022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44616</v>
      </c>
      <c r="E742" s="1" t="n">
        <v>46299</v>
      </c>
      <c r="F742" t="inlineStr">
        <is>
          <t>BLEKINGE LÄN</t>
        </is>
      </c>
      <c r="G742" t="inlineStr">
        <is>
          <t>KARLSKRONA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41243-2023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45174</v>
      </c>
      <c r="E743" s="1" t="n">
        <v>46299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46299</v>
      </c>
      <c r="F744" t="inlineStr">
        <is>
          <t>BLEKINGE LÄN</t>
        </is>
      </c>
      <c r="G744" t="inlineStr">
        <is>
          <t>KARLSKRONA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45037</v>
      </c>
      <c r="E745" s="1" t="n">
        <v>46299</v>
      </c>
      <c r="F745" t="inlineStr">
        <is>
          <t>BLEKINGE LÄN</t>
        </is>
      </c>
      <c r="G745" t="inlineStr">
        <is>
          <t>KARLSKRONA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26485-2023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46299</v>
      </c>
      <c r="F746" t="inlineStr">
        <is>
          <t>BLEKINGE LÄN</t>
        </is>
      </c>
      <c r="G746" t="inlineStr">
        <is>
          <t>KARLSKRONA</t>
        </is>
      </c>
      <c r="I746" t="n">
        <v>39.4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23410-2023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45076</v>
      </c>
      <c r="E747" s="1" t="n">
        <v>46299</v>
      </c>
      <c r="F747" t="inlineStr">
        <is>
          <t>BLEKINGE LÄN</t>
        </is>
      </c>
      <c r="G747" t="inlineStr">
        <is>
          <t>KARLSKRONA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46299</v>
      </c>
      <c r="F748" t="inlineStr">
        <is>
          <t>BLEKINGE LÄN</t>
        </is>
      </c>
      <c r="G748" t="inlineStr">
        <is>
          <t>KARLSKRONA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45266</v>
      </c>
      <c r="E749" s="1" t="n">
        <v>46299</v>
      </c>
      <c r="F749" t="inlineStr">
        <is>
          <t>BLEKINGE LÄN</t>
        </is>
      </c>
      <c r="G749" t="inlineStr">
        <is>
          <t>KARLSKRONA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46299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45565</v>
      </c>
      <c r="E751" s="1" t="n">
        <v>46299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44722</v>
      </c>
      <c r="E752" s="1" t="n">
        <v>46299</v>
      </c>
      <c r="F752" t="inlineStr">
        <is>
          <t>BLEKINGE LÄN</t>
        </is>
      </c>
      <c r="G752" t="inlineStr">
        <is>
          <t>KARLSKRONA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58804-2022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44903</v>
      </c>
      <c r="E753" s="1" t="n">
        <v>46299</v>
      </c>
      <c r="F753" t="inlineStr">
        <is>
          <t>BLEKINGE LÄN</t>
        </is>
      </c>
      <c r="G753" t="inlineStr">
        <is>
          <t>KARLSKRONA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36966-2023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45154</v>
      </c>
      <c r="E754" s="1" t="n">
        <v>46299</v>
      </c>
      <c r="F754" t="inlineStr">
        <is>
          <t>BLEKINGE LÄN</t>
        </is>
      </c>
      <c r="G754" t="inlineStr">
        <is>
          <t>KARLSKRONA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44711</v>
      </c>
      <c r="E755" s="1" t="n">
        <v>46299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19515-2022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44693</v>
      </c>
      <c r="E756" s="1" t="n">
        <v>46299</v>
      </c>
      <c r="F756" t="inlineStr">
        <is>
          <t>BLEKINGE LÄN</t>
        </is>
      </c>
      <c r="G756" t="inlineStr">
        <is>
          <t>KARLSKRONA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3024-2022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44581</v>
      </c>
      <c r="E757" s="1" t="n">
        <v>46299</v>
      </c>
      <c r="F757" t="inlineStr">
        <is>
          <t>BLEKINGE LÄN</t>
        </is>
      </c>
      <c r="G757" t="inlineStr">
        <is>
          <t>KARLSKRONA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45075</v>
      </c>
      <c r="E758" s="1" t="n">
        <v>46299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53994-2024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45616</v>
      </c>
      <c r="E759" s="1" t="n">
        <v>46299</v>
      </c>
      <c r="F759" t="inlineStr">
        <is>
          <t>BLEKINGE LÄN</t>
        </is>
      </c>
      <c r="G759" t="inlineStr">
        <is>
          <t>KARLSKRONA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21150-2023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45062</v>
      </c>
      <c r="E760" s="1" t="n">
        <v>46299</v>
      </c>
      <c r="F760" t="inlineStr">
        <is>
          <t>BLEKINGE LÄN</t>
        </is>
      </c>
      <c r="G760" t="inlineStr">
        <is>
          <t>KARLSKRONA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30954-2023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45113</v>
      </c>
      <c r="E761" s="1" t="n">
        <v>46299</v>
      </c>
      <c r="F761" t="inlineStr">
        <is>
          <t>BLEKINGE LÄN</t>
        </is>
      </c>
      <c r="G761" t="inlineStr">
        <is>
          <t>KARLSKRONA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45672</v>
      </c>
      <c r="E762" s="1" t="n">
        <v>46299</v>
      </c>
      <c r="F762" t="inlineStr">
        <is>
          <t>BLEKINGE LÄN</t>
        </is>
      </c>
      <c r="G762" t="inlineStr">
        <is>
          <t>KARLSKRONA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972-2024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45301</v>
      </c>
      <c r="E763" s="1" t="n">
        <v>46299</v>
      </c>
      <c r="F763" t="inlineStr">
        <is>
          <t>BLEKINGE LÄN</t>
        </is>
      </c>
      <c r="G763" t="inlineStr">
        <is>
          <t>KARLSKRONA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17170-2023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45030</v>
      </c>
      <c r="E764" s="1" t="n">
        <v>46299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7596-2024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45348</v>
      </c>
      <c r="E765" s="1" t="n">
        <v>46299</v>
      </c>
      <c r="F765" t="inlineStr">
        <is>
          <t>BLEKINGE LÄN</t>
        </is>
      </c>
      <c r="G765" t="inlineStr">
        <is>
          <t>KARLSKRONA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28615-2022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44748</v>
      </c>
      <c r="E766" s="1" t="n">
        <v>46299</v>
      </c>
      <c r="F766" t="inlineStr">
        <is>
          <t>BLEKINGE LÄN</t>
        </is>
      </c>
      <c r="G766" t="inlineStr">
        <is>
          <t>KARLSKRONA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20516-2025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45775</v>
      </c>
      <c r="E767" s="1" t="n">
        <v>46299</v>
      </c>
      <c r="F767" t="inlineStr">
        <is>
          <t>BLEKINGE LÄN</t>
        </is>
      </c>
      <c r="G767" t="inlineStr">
        <is>
          <t>KARLSKRONA</t>
        </is>
      </c>
      <c r="I767" t="n">
        <v>9.6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19108-2023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45048</v>
      </c>
      <c r="E768" s="1" t="n">
        <v>46299</v>
      </c>
      <c r="F768" t="inlineStr">
        <is>
          <t>BLEKINGE LÄN</t>
        </is>
      </c>
      <c r="G768" t="inlineStr">
        <is>
          <t>KARLSKRONA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45028</v>
      </c>
      <c r="E769" s="1" t="n">
        <v>46299</v>
      </c>
      <c r="F769" t="inlineStr">
        <is>
          <t>BLEKINGE LÄN</t>
        </is>
      </c>
      <c r="G769" t="inlineStr">
        <is>
          <t>KARLSKRONA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23110-2023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45075</v>
      </c>
      <c r="E770" s="1" t="n">
        <v>46299</v>
      </c>
      <c r="F770" t="inlineStr">
        <is>
          <t>BLEKINGE LÄN</t>
        </is>
      </c>
      <c r="G770" t="inlineStr">
        <is>
          <t>KARLSKRONA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46299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23104-2023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45075</v>
      </c>
      <c r="E772" s="1" t="n">
        <v>46299</v>
      </c>
      <c r="F772" t="inlineStr">
        <is>
          <t>BLEKINGE LÄN</t>
        </is>
      </c>
      <c r="G772" t="inlineStr">
        <is>
          <t>KARLSKRONA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36807-2024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45538</v>
      </c>
      <c r="E773" s="1" t="n">
        <v>46299</v>
      </c>
      <c r="F773" t="inlineStr">
        <is>
          <t>BLEKINGE LÄN</t>
        </is>
      </c>
      <c r="G773" t="inlineStr">
        <is>
          <t>KARLSKRONA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48975-2024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45594</v>
      </c>
      <c r="E774" s="1" t="n">
        <v>46299</v>
      </c>
      <c r="F774" t="inlineStr">
        <is>
          <t>BLEKINGE LÄN</t>
        </is>
      </c>
      <c r="G774" t="inlineStr">
        <is>
          <t>KARLSKRONA</t>
        </is>
      </c>
      <c r="I774" t="n">
        <v>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40357-2024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45555</v>
      </c>
      <c r="E775" s="1" t="n">
        <v>46299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7252-2024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45344</v>
      </c>
      <c r="E776" s="1" t="n">
        <v>46299</v>
      </c>
      <c r="F776" t="inlineStr">
        <is>
          <t>BLEKINGE LÄN</t>
        </is>
      </c>
      <c r="G776" t="inlineStr">
        <is>
          <t>KARLSKRONA</t>
        </is>
      </c>
      <c r="H776" t="inlineStr">
        <is>
          <t>Kommuner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45499</v>
      </c>
      <c r="E777" s="1" t="n">
        <v>46299</v>
      </c>
      <c r="F777" t="inlineStr">
        <is>
          <t>BLEKINGE LÄN</t>
        </is>
      </c>
      <c r="G777" t="inlineStr">
        <is>
          <t>KARLSKRONA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45372</v>
      </c>
      <c r="E778" s="1" t="n">
        <v>46299</v>
      </c>
      <c r="F778" t="inlineStr">
        <is>
          <t>BLEKINGE LÄN</t>
        </is>
      </c>
      <c r="G778" t="inlineStr">
        <is>
          <t>KARLSKRONA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44425-2024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45573</v>
      </c>
      <c r="E779" s="1" t="n">
        <v>46299</v>
      </c>
      <c r="F779" t="inlineStr">
        <is>
          <t>BLEKINGE LÄN</t>
        </is>
      </c>
      <c r="G779" t="inlineStr">
        <is>
          <t>KARLSKRONA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55270-2024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45621</v>
      </c>
      <c r="E780" s="1" t="n">
        <v>46299</v>
      </c>
      <c r="F780" t="inlineStr">
        <is>
          <t>BLEKINGE LÄN</t>
        </is>
      </c>
      <c r="G780" t="inlineStr">
        <is>
          <t>KARLSKRONA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21648-2025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46299</v>
      </c>
      <c r="F781" t="inlineStr">
        <is>
          <t>BLEKINGE LÄN</t>
        </is>
      </c>
      <c r="G781" t="inlineStr">
        <is>
          <t>KARLSKRONA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13535-2024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45387</v>
      </c>
      <c r="E782" s="1" t="n">
        <v>46299</v>
      </c>
      <c r="F782" t="inlineStr">
        <is>
          <t>BLEKINGE LÄN</t>
        </is>
      </c>
      <c r="G782" t="inlineStr">
        <is>
          <t>KARLSKRONA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45624</v>
      </c>
      <c r="E783" s="1" t="n">
        <v>46299</v>
      </c>
      <c r="F783" t="inlineStr">
        <is>
          <t>BLEKINGE LÄN</t>
        </is>
      </c>
      <c r="G783" t="inlineStr">
        <is>
          <t>KARLSKRONA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45674</v>
      </c>
      <c r="E784" s="1" t="n">
        <v>46299</v>
      </c>
      <c r="F784" t="inlineStr">
        <is>
          <t>BLEKINGE LÄN</t>
        </is>
      </c>
      <c r="G784" t="inlineStr">
        <is>
          <t>KARLSKRONA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46299</v>
      </c>
      <c r="F785" t="inlineStr">
        <is>
          <t>BLEKINGE LÄN</t>
        </is>
      </c>
      <c r="G785" t="inlineStr">
        <is>
          <t>KARLSKRONA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46299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46299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46299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46299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46299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46299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46299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46299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46299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46299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46299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46299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46299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46299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46299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46299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46299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46299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46299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46299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46299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46299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46299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46299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46299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46299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46299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46299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46299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46299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46299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2026-10-04T02:01:19Z</dcterms:created>
  <dcterms:modified xmlns:dcterms="http://purl.org/dc/terms/" xmlns:xsi="http://www.w3.org/2001/XMLSchema-instance" xsi:type="dcterms:W3CDTF">2026-10-04T02:01:20Z</dcterms:modified>
</cp:coreProperties>
</file>