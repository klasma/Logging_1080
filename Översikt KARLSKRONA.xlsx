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46224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46224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46224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46224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46224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46224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46224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46224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46224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46224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46224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46224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46224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46224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46224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2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46224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46224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46224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46224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46224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46224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46224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46224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46224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46224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46224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46224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46224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27763-2024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45475</v>
      </c>
      <c r="E42" s="1" t="n">
        <v>46224</v>
      </c>
      <c r="F42" t="inlineStr">
        <is>
          <t>BLEKINGE LÄN</t>
        </is>
      </c>
      <c r="G42" t="inlineStr">
        <is>
          <t>KARLSKRONA</t>
        </is>
      </c>
      <c r="I42" t="n">
        <v>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Långbensgroda</t>
        </is>
      </c>
      <c r="W42">
        <f>HYPERLINK("https://klasma.github.io/Logging_1080/artfynd/A 27763-2024 artfynd.xlsx", "A 27763-2024")</f>
        <v/>
      </c>
      <c r="X42">
        <f>HYPERLINK("https://klasma.github.io/Logging_1080/kartor/A 27763-2024 karta.png", "A 27763-2024")</f>
        <v/>
      </c>
      <c r="Y42">
        <f>HYPERLINK("https://klasma.github.io/Logging_1080/kartor_geotiff/A 27763-2024 georefererad karta.tif", "A 27763-2024")</f>
        <v/>
      </c>
      <c r="AA42">
        <f>HYPERLINK("https://klasma.github.io/Logging_1080/klagomål/A 27763-2024 FSC-klagomål.docx", "A 27763-2024")</f>
        <v/>
      </c>
      <c r="AB42">
        <f>HYPERLINK("https://klasma.github.io/Logging_1080/klagomålsmail/A 27763-2024 FSC-klagomål mail.docx", "A 27763-2024")</f>
        <v/>
      </c>
      <c r="AC42">
        <f>HYPERLINK("https://klasma.github.io/Logging_1080/tillsyn/A 27763-2024 tillsynsbegäran.docx", "A 27763-2024")</f>
        <v/>
      </c>
      <c r="AD42">
        <f>HYPERLINK("https://klasma.github.io/Logging_1080/tillsynsmail/A 27763-2024 tillsynsbegäran mail.docx", "A 27763-2024")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46224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19602-2023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46224</v>
      </c>
      <c r="F44" t="inlineStr">
        <is>
          <t>BLEKINGE LÄN</t>
        </is>
      </c>
      <c r="G44" t="inlineStr">
        <is>
          <t>KARLSKRONA</t>
        </is>
      </c>
      <c r="I44" t="n">
        <v>19.5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Backsippa</t>
        </is>
      </c>
      <c r="W44">
        <f>HYPERLINK("https://klasma.github.io/Logging_1080/artfynd/A 19602-2023 artfynd.xlsx", "A 19602-2023")</f>
        <v/>
      </c>
      <c r="X44">
        <f>HYPERLINK("https://klasma.github.io/Logging_1080/kartor/A 19602-2023 karta.png", "A 19602-2023")</f>
        <v/>
      </c>
      <c r="Y44">
        <f>HYPERLINK("https://klasma.github.io/Logging_1080/kartor_geotiff/A 19602-2023 georefererad karta.tif", "A 19602-2023")</f>
        <v/>
      </c>
      <c r="AA44">
        <f>HYPERLINK("https://klasma.github.io/Logging_1080/klagomål/A 19602-2023 FSC-klagomål.docx", "A 19602-2023")</f>
        <v/>
      </c>
      <c r="AB44">
        <f>HYPERLINK("https://klasma.github.io/Logging_1080/klagomålsmail/A 19602-2023 FSC-klagomål mail.docx", "A 19602-2023")</f>
        <v/>
      </c>
      <c r="AC44">
        <f>HYPERLINK("https://klasma.github.io/Logging_1080/tillsyn/A 19602-2023 tillsynsbegäran.docx", "A 19602-2023")</f>
        <v/>
      </c>
      <c r="AD44">
        <f>HYPERLINK("https://klasma.github.io/Logging_1080/tillsynsmail/A 19602-2023 tillsynsbegäran mail.docx", "A 19602-2023")</f>
        <v/>
      </c>
    </row>
    <row r="45" ht="15" customHeight="1">
      <c r="A45" t="inlineStr">
        <is>
          <t>A 1356-2024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46224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1356-2024 artfynd.xlsx", "A 1356-2024")</f>
        <v/>
      </c>
      <c r="X45">
        <f>HYPERLINK("https://klasma.github.io/Logging_1080/kartor/A 1356-2024 karta.png", "A 1356-2024")</f>
        <v/>
      </c>
      <c r="Y45">
        <f>HYPERLINK("https://klasma.github.io/Logging_1080/kartor_geotiff/A 1356-2024 georefererad karta.tif", "A 1356-2024")</f>
        <v/>
      </c>
      <c r="AA45">
        <f>HYPERLINK("https://klasma.github.io/Logging_1080/klagomål/A 1356-2024 FSC-klagomål.docx", "A 1356-2024")</f>
        <v/>
      </c>
      <c r="AB45">
        <f>HYPERLINK("https://klasma.github.io/Logging_1080/klagomålsmail/A 1356-2024 FSC-klagomål mail.docx", "A 1356-2024")</f>
        <v/>
      </c>
      <c r="AC45">
        <f>HYPERLINK("https://klasma.github.io/Logging_1080/tillsyn/A 1356-2024 tillsynsbegäran.docx", "A 1356-2024")</f>
        <v/>
      </c>
      <c r="AD45">
        <f>HYPERLINK("https://klasma.github.io/Logging_1080/tillsynsmail/A 1356-2024 tillsynsbegäran mail.docx", "A 1356-2024")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46224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34609-2025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46224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Backsippa</t>
        </is>
      </c>
      <c r="W47">
        <f>HYPERLINK("https://klasma.github.io/Logging_1080/artfynd/A 34609-2025 artfynd.xlsx", "A 34609-2025")</f>
        <v/>
      </c>
      <c r="X47">
        <f>HYPERLINK("https://klasma.github.io/Logging_1080/kartor/A 34609-2025 karta.png", "A 34609-2025")</f>
        <v/>
      </c>
      <c r="Y47">
        <f>HYPERLINK("https://klasma.github.io/Logging_1080/kartor_geotiff/A 34609-2025 georefererad karta.tif", "A 34609-2025")</f>
        <v/>
      </c>
      <c r="AA47">
        <f>HYPERLINK("https://klasma.github.io/Logging_1080/klagomål/A 34609-2025 FSC-klagomål.docx", "A 34609-2025")</f>
        <v/>
      </c>
      <c r="AB47">
        <f>HYPERLINK("https://klasma.github.io/Logging_1080/klagomålsmail/A 34609-2025 FSC-klagomål mail.docx", "A 34609-2025")</f>
        <v/>
      </c>
      <c r="AC47">
        <f>HYPERLINK("https://klasma.github.io/Logging_1080/tillsyn/A 34609-2025 tillsynsbegäran.docx", "A 34609-2025")</f>
        <v/>
      </c>
      <c r="AD47">
        <f>HYPERLINK("https://klasma.github.io/Logging_1080/tillsynsmail/A 34609-2025 tillsynsbegäran mail.docx", "A 34609-2025")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46224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46224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46224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30181-2023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46224</v>
      </c>
      <c r="F51" t="inlineStr">
        <is>
          <t>BLEKINGE LÄN</t>
        </is>
      </c>
      <c r="G51" t="inlineStr">
        <is>
          <t>KARLSKRONA</t>
        </is>
      </c>
      <c r="I51" t="n">
        <v>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Hasselsnok</t>
        </is>
      </c>
      <c r="W51">
        <f>HYPERLINK("https://klasma.github.io/Logging_1080/artfynd/A 30181-2023 artfynd.xlsx", "A 30181-2023")</f>
        <v/>
      </c>
      <c r="X51">
        <f>HYPERLINK("https://klasma.github.io/Logging_1080/kartor/A 30181-2023 karta.png", "A 30181-2023")</f>
        <v/>
      </c>
      <c r="Y51">
        <f>HYPERLINK("https://klasma.github.io/Logging_1080/kartor_geotiff/A 30181-2023 georefererad karta.tif", "A 30181-2023")</f>
        <v/>
      </c>
      <c r="AA51">
        <f>HYPERLINK("https://klasma.github.io/Logging_1080/klagomål/A 30181-2023 FSC-klagomål.docx", "A 30181-2023")</f>
        <v/>
      </c>
      <c r="AB51">
        <f>HYPERLINK("https://klasma.github.io/Logging_1080/klagomålsmail/A 30181-2023 FSC-klagomål mail.docx", "A 30181-2023")</f>
        <v/>
      </c>
      <c r="AC51">
        <f>HYPERLINK("https://klasma.github.io/Logging_1080/tillsyn/A 30181-2023 tillsynsbegäran.docx", "A 30181-2023")</f>
        <v/>
      </c>
      <c r="AD51">
        <f>HYPERLINK("https://klasma.github.io/Logging_1080/tillsynsmail/A 30181-2023 tillsynsbegäran mail.docx", "A 30181-2023")</f>
        <v/>
      </c>
    </row>
    <row r="52" ht="15" customHeight="1">
      <c r="A52" t="inlineStr">
        <is>
          <t>A 14345-2023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46224</v>
      </c>
      <c r="F52" t="inlineStr">
        <is>
          <t>BLEKINGE LÄN</t>
        </is>
      </c>
      <c r="G52" t="inlineStr">
        <is>
          <t>KARLSKRONA</t>
        </is>
      </c>
      <c r="I52" t="n">
        <v>4.4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Kavelhirs</t>
        </is>
      </c>
      <c r="W52">
        <f>HYPERLINK("https://klasma.github.io/Logging_1080/artfynd/A 14345-2023 artfynd.xlsx", "A 14345-2023")</f>
        <v/>
      </c>
      <c r="X52">
        <f>HYPERLINK("https://klasma.github.io/Logging_1080/kartor/A 14345-2023 karta.png", "A 14345-2023")</f>
        <v/>
      </c>
      <c r="Y52">
        <f>HYPERLINK("https://klasma.github.io/Logging_1080/kartor_geotiff/A 14345-2023 georefererad karta.tif", "A 14345-2023")</f>
        <v/>
      </c>
      <c r="AA52">
        <f>HYPERLINK("https://klasma.github.io/Logging_1080/klagomål/A 14345-2023 FSC-klagomål.docx", "A 14345-2023")</f>
        <v/>
      </c>
      <c r="AB52">
        <f>HYPERLINK("https://klasma.github.io/Logging_1080/klagomålsmail/A 14345-2023 FSC-klagomål mail.docx", "A 14345-2023")</f>
        <v/>
      </c>
      <c r="AC52">
        <f>HYPERLINK("https://klasma.github.io/Logging_1080/tillsyn/A 14345-2023 tillsynsbegäran.docx", "A 14345-2023")</f>
        <v/>
      </c>
      <c r="AD52">
        <f>HYPERLINK("https://klasma.github.io/Logging_1080/tillsynsmail/A 14345-2023 tillsynsbegäran mail.docx", "A 14345-2023")</f>
        <v/>
      </c>
    </row>
    <row r="53" ht="15" customHeight="1">
      <c r="A53" t="inlineStr">
        <is>
          <t>A 6221-2024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46224</v>
      </c>
      <c r="F53" t="inlineStr">
        <is>
          <t>BLEKINGE LÄN</t>
        </is>
      </c>
      <c r="G53" t="inlineStr">
        <is>
          <t>KARLSKRONA</t>
        </is>
      </c>
      <c r="I53" t="n">
        <v>0.8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Ekoxe</t>
        </is>
      </c>
      <c r="W53">
        <f>HYPERLINK("https://klasma.github.io/Logging_1080/artfynd/A 6221-2024 artfynd.xlsx", "A 6221-2024")</f>
        <v/>
      </c>
      <c r="X53">
        <f>HYPERLINK("https://klasma.github.io/Logging_1080/kartor/A 6221-2024 karta.png", "A 6221-2024")</f>
        <v/>
      </c>
      <c r="Y53">
        <f>HYPERLINK("https://klasma.github.io/Logging_1080/kartor_geotiff/A 6221-2024 georefererad karta.tif", "A 6221-2024")</f>
        <v/>
      </c>
      <c r="AA53">
        <f>HYPERLINK("https://klasma.github.io/Logging_1080/klagomål/A 6221-2024 FSC-klagomål.docx", "A 6221-2024")</f>
        <v/>
      </c>
      <c r="AB53">
        <f>HYPERLINK("https://klasma.github.io/Logging_1080/klagomålsmail/A 6221-2024 FSC-klagomål mail.docx", "A 6221-2024")</f>
        <v/>
      </c>
      <c r="AC53">
        <f>HYPERLINK("https://klasma.github.io/Logging_1080/tillsyn/A 6221-2024 tillsynsbegäran.docx", "A 6221-2024")</f>
        <v/>
      </c>
      <c r="AD53">
        <f>HYPERLINK("https://klasma.github.io/Logging_1080/tillsynsmail/A 6221-2024 tillsynsbegäran mail.docx", "A 6221-2024")</f>
        <v/>
      </c>
    </row>
    <row r="54" ht="15" customHeight="1">
      <c r="A54" t="inlineStr">
        <is>
          <t>A 16465-2026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46112</v>
      </c>
      <c r="E54" s="1" t="n">
        <v>46224</v>
      </c>
      <c r="F54" t="inlineStr">
        <is>
          <t>BLEKINGE LÄN</t>
        </is>
      </c>
      <c r="G54" t="inlineStr">
        <is>
          <t>KARLSKRONA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HYPERLINK("https://klasma.github.io/Logging_1080/artfynd/A 16465-2026 artfynd.xlsx", "A 16465-2026")</f>
        <v/>
      </c>
      <c r="X54">
        <f>HYPERLINK("https://klasma.github.io/Logging_1080/kartor/A 16465-2026 karta.png", "A 16465-2026")</f>
        <v/>
      </c>
      <c r="Y54">
        <f>HYPERLINK("https://klasma.github.io/Logging_1080/kartor_geotiff/A 16465-2026 georefererad karta.tif", "A 16465-2026")</f>
        <v/>
      </c>
      <c r="AA54">
        <f>HYPERLINK("https://klasma.github.io/Logging_1080/klagomål/A 16465-2026 FSC-klagomål.docx", "A 16465-2026")</f>
        <v/>
      </c>
      <c r="AB54">
        <f>HYPERLINK("https://klasma.github.io/Logging_1080/klagomålsmail/A 16465-2026 FSC-klagomål mail.docx", "A 16465-2026")</f>
        <v/>
      </c>
      <c r="AC54">
        <f>HYPERLINK("https://klasma.github.io/Logging_1080/tillsyn/A 16465-2026 tillsynsbegäran.docx", "A 16465-2026")</f>
        <v/>
      </c>
      <c r="AD54">
        <f>HYPERLINK("https://klasma.github.io/Logging_1080/tillsynsmail/A 16465-2026 tillsynsbegäran mail.docx", "A 16465-2026")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46224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18052-2026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46125</v>
      </c>
      <c r="E56" s="1" t="n">
        <v>46224</v>
      </c>
      <c r="F56" t="inlineStr">
        <is>
          <t>BLEKINGE LÄN</t>
        </is>
      </c>
      <c r="G56" t="inlineStr">
        <is>
          <t>KARLSKRONA</t>
        </is>
      </c>
      <c r="I56" t="n">
        <v>4.5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18052-2026 artfynd.xlsx", "A 18052-2026")</f>
        <v/>
      </c>
      <c r="X56">
        <f>HYPERLINK("https://klasma.github.io/Logging_1080/kartor/A 18052-2026 karta.png", "A 18052-2026")</f>
        <v/>
      </c>
      <c r="Y56">
        <f>HYPERLINK("https://klasma.github.io/Logging_1080/kartor_geotiff/A 18052-2026 georefererad karta.tif", "A 18052-2026")</f>
        <v/>
      </c>
      <c r="AA56">
        <f>HYPERLINK("https://klasma.github.io/Logging_1080/klagomål/A 18052-2026 FSC-klagomål.docx", "A 18052-2026")</f>
        <v/>
      </c>
      <c r="AB56">
        <f>HYPERLINK("https://klasma.github.io/Logging_1080/klagomålsmail/A 18052-2026 FSC-klagomål mail.docx", "A 18052-2026")</f>
        <v/>
      </c>
      <c r="AC56">
        <f>HYPERLINK("https://klasma.github.io/Logging_1080/tillsyn/A 18052-2026 tillsynsbegäran.docx", "A 18052-2026")</f>
        <v/>
      </c>
      <c r="AD56">
        <f>HYPERLINK("https://klasma.github.io/Logging_1080/tillsynsmail/A 18052-2026 tillsynsbegäran mail.docx", "A 18052-2026")</f>
        <v/>
      </c>
    </row>
    <row r="57" ht="15" customHeight="1">
      <c r="A57" t="inlineStr">
        <is>
          <t>A 44576-2025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46224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44576-2025 artfynd.xlsx", "A 44576-2025")</f>
        <v/>
      </c>
      <c r="X57">
        <f>HYPERLINK("https://klasma.github.io/Logging_1080/kartor/A 44576-2025 karta.png", "A 44576-2025")</f>
        <v/>
      </c>
      <c r="Y57">
        <f>HYPERLINK("https://klasma.github.io/Logging_1080/kartor_geotiff/A 44576-2025 georefererad karta.tif", "A 44576-2025")</f>
        <v/>
      </c>
      <c r="AA57">
        <f>HYPERLINK("https://klasma.github.io/Logging_1080/klagomål/A 44576-2025 FSC-klagomål.docx", "A 44576-2025")</f>
        <v/>
      </c>
      <c r="AB57">
        <f>HYPERLINK("https://klasma.github.io/Logging_1080/klagomålsmail/A 44576-2025 FSC-klagomål mail.docx", "A 44576-2025")</f>
        <v/>
      </c>
      <c r="AC57">
        <f>HYPERLINK("https://klasma.github.io/Logging_1080/tillsyn/A 44576-2025 tillsynsbegäran.docx", "A 44576-2025")</f>
        <v/>
      </c>
      <c r="AD57">
        <f>HYPERLINK("https://klasma.github.io/Logging_1080/tillsynsmail/A 44576-2025 tillsynsbegäran mail.docx", "A 44576-2025")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46224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19600-2023 artfynd.xlsx", "A 19600-2023")</f>
        <v/>
      </c>
      <c r="X58">
        <f>HYPERLINK("https://klasma.github.io/Logging_1080/kartor/A 19600-2023 karta.png", "A 19600-2023")</f>
        <v/>
      </c>
      <c r="Y58">
        <f>HYPERLINK("https://klasma.github.io/Logging_1080/kartor_geotiff/A 19600-2023 georefererad karta.tif", "A 19600-2023")</f>
        <v/>
      </c>
      <c r="AA58">
        <f>HYPERLINK("https://klasma.github.io/Logging_1080/klagomål/A 19600-2023 FSC-klagomål.docx", "A 19600-2023")</f>
        <v/>
      </c>
      <c r="AB58">
        <f>HYPERLINK("https://klasma.github.io/Logging_1080/klagomålsmail/A 19600-2023 FSC-klagomål mail.docx", "A 19600-2023")</f>
        <v/>
      </c>
      <c r="AC58">
        <f>HYPERLINK("https://klasma.github.io/Logging_1080/tillsyn/A 19600-2023 tillsynsbegäran.docx", "A 19600-2023")</f>
        <v/>
      </c>
      <c r="AD58">
        <f>HYPERLINK("https://klasma.github.io/Logging_1080/tillsynsmail/A 19600-2023 tillsynsbegäran mail.docx", "A 19600-2023")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46224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46224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27203-2026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46224</v>
      </c>
      <c r="F61" t="inlineStr">
        <is>
          <t>BLEKINGE LÄN</t>
        </is>
      </c>
      <c r="G61" t="inlineStr">
        <is>
          <t>KARLSKRONA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Nötkråka</t>
        </is>
      </c>
      <c r="W61">
        <f>HYPERLINK("https://klasma.github.io/Logging_1080/artfynd/A 27203-2026 artfynd.xlsx", "A 27203-2026")</f>
        <v/>
      </c>
      <c r="X61">
        <f>HYPERLINK("https://klasma.github.io/Logging_1080/kartor/A 27203-2026 karta.png", "A 27203-2026")</f>
        <v/>
      </c>
      <c r="Y61">
        <f>HYPERLINK("https://klasma.github.io/Logging_1080/kartor_geotiff/A 27203-2026 georefererad karta.tif", "A 27203-2026")</f>
        <v/>
      </c>
      <c r="AA61">
        <f>HYPERLINK("https://klasma.github.io/Logging_1080/klagomål/A 27203-2026 FSC-klagomål.docx", "A 27203-2026")</f>
        <v/>
      </c>
      <c r="AB61">
        <f>HYPERLINK("https://klasma.github.io/Logging_1080/klagomålsmail/A 27203-2026 FSC-klagomål mail.docx", "A 27203-2026")</f>
        <v/>
      </c>
      <c r="AC61">
        <f>HYPERLINK("https://klasma.github.io/Logging_1080/tillsyn/A 27203-2026 tillsynsbegäran.docx", "A 27203-2026")</f>
        <v/>
      </c>
      <c r="AD61">
        <f>HYPERLINK("https://klasma.github.io/Logging_1080/tillsynsmail/A 27203-2026 tillsynsbegäran mail.docx", "A 27203-2026")</f>
        <v/>
      </c>
      <c r="AE61">
        <f>HYPERLINK("https://klasma.github.io/Logging_1080/fåglar/A 27203-2026 prioriterade fågelarter.docx", "A 27203-2026")</f>
        <v/>
      </c>
    </row>
    <row r="62" ht="15" customHeight="1">
      <c r="A62" t="inlineStr">
        <is>
          <t>A 58004-2024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45631</v>
      </c>
      <c r="E62" s="1" t="n">
        <v>46224</v>
      </c>
      <c r="F62" t="inlineStr">
        <is>
          <t>BLEKINGE LÄN</t>
        </is>
      </c>
      <c r="G62" t="inlineStr">
        <is>
          <t>KARLSKRONA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Korskovall</t>
        </is>
      </c>
      <c r="W62">
        <f>HYPERLINK("https://klasma.github.io/Logging_1080/artfynd/A 58004-2024 artfynd.xlsx", "A 58004-2024")</f>
        <v/>
      </c>
      <c r="X62">
        <f>HYPERLINK("https://klasma.github.io/Logging_1080/kartor/A 58004-2024 karta.png", "A 58004-2024")</f>
        <v/>
      </c>
      <c r="Y62">
        <f>HYPERLINK("https://klasma.github.io/Logging_1080/kartor_geotiff/A 58004-2024 georefererad karta.tif", "A 58004-2024")</f>
        <v/>
      </c>
      <c r="AA62">
        <f>HYPERLINK("https://klasma.github.io/Logging_1080/klagomål/A 58004-2024 FSC-klagomål.docx", "A 58004-2024")</f>
        <v/>
      </c>
      <c r="AB62">
        <f>HYPERLINK("https://klasma.github.io/Logging_1080/klagomålsmail/A 58004-2024 FSC-klagomål mail.docx", "A 58004-2024")</f>
        <v/>
      </c>
      <c r="AC62">
        <f>HYPERLINK("https://klasma.github.io/Logging_1080/tillsyn/A 58004-2024 tillsynsbegäran.docx", "A 58004-2024")</f>
        <v/>
      </c>
      <c r="AD62">
        <f>HYPERLINK("https://klasma.github.io/Logging_1080/tillsynsmail/A 58004-2024 tillsynsbegäran mail.docx", "A 58004-2024")</f>
        <v/>
      </c>
    </row>
    <row r="63" ht="15" customHeight="1">
      <c r="A63" t="inlineStr">
        <is>
          <t>A 13497-2025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46224</v>
      </c>
      <c r="F63" t="inlineStr">
        <is>
          <t>BLEKINGE LÄN</t>
        </is>
      </c>
      <c r="G63" t="inlineStr">
        <is>
          <t>KARLSKRONA</t>
        </is>
      </c>
      <c r="I63" t="n">
        <v>0.5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Backsippa</t>
        </is>
      </c>
      <c r="W63">
        <f>HYPERLINK("https://klasma.github.io/Logging_1080/artfynd/A 13497-2025 artfynd.xlsx", "A 13497-2025")</f>
        <v/>
      </c>
      <c r="X63">
        <f>HYPERLINK("https://klasma.github.io/Logging_1080/kartor/A 13497-2025 karta.png", "A 13497-2025")</f>
        <v/>
      </c>
      <c r="Y63">
        <f>HYPERLINK("https://klasma.github.io/Logging_1080/kartor_geotiff/A 13497-2025 georefererad karta.tif", "A 13497-2025")</f>
        <v/>
      </c>
      <c r="AA63">
        <f>HYPERLINK("https://klasma.github.io/Logging_1080/klagomål/A 13497-2025 FSC-klagomål.docx", "A 13497-2025")</f>
        <v/>
      </c>
      <c r="AB63">
        <f>HYPERLINK("https://klasma.github.io/Logging_1080/klagomålsmail/A 13497-2025 FSC-klagomål mail.docx", "A 13497-2025")</f>
        <v/>
      </c>
      <c r="AC63">
        <f>HYPERLINK("https://klasma.github.io/Logging_1080/tillsyn/A 13497-2025 tillsynsbegäran.docx", "A 13497-2025")</f>
        <v/>
      </c>
      <c r="AD63">
        <f>HYPERLINK("https://klasma.github.io/Logging_1080/tillsynsmail/A 13497-2025 tillsynsbegäran mail.docx", "A 13497-2025")</f>
        <v/>
      </c>
    </row>
    <row r="64" ht="15" customHeight="1">
      <c r="A64" t="inlineStr">
        <is>
          <t>A 45591-2024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45579</v>
      </c>
      <c r="E64" s="1" t="n">
        <v>46224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Svartvit taggsvamp</t>
        </is>
      </c>
      <c r="W64">
        <f>HYPERLINK("https://klasma.github.io/Logging_1080/artfynd/A 45591-2024 artfynd.xlsx", "A 45591-2024")</f>
        <v/>
      </c>
      <c r="X64">
        <f>HYPERLINK("https://klasma.github.io/Logging_1080/kartor/A 45591-2024 karta.png", "A 45591-2024")</f>
        <v/>
      </c>
      <c r="Y64">
        <f>HYPERLINK("https://klasma.github.io/Logging_1080/kartor_geotiff/A 45591-2024 georefererad karta.tif", "A 45591-2024")</f>
        <v/>
      </c>
      <c r="AA64">
        <f>HYPERLINK("https://klasma.github.io/Logging_1080/klagomål/A 45591-2024 FSC-klagomål.docx", "A 45591-2024")</f>
        <v/>
      </c>
      <c r="AB64">
        <f>HYPERLINK("https://klasma.github.io/Logging_1080/klagomålsmail/A 45591-2024 FSC-klagomål mail.docx", "A 45591-2024")</f>
        <v/>
      </c>
      <c r="AC64">
        <f>HYPERLINK("https://klasma.github.io/Logging_1080/tillsyn/A 45591-2024 tillsynsbegäran.docx", "A 45591-2024")</f>
        <v/>
      </c>
      <c r="AD64">
        <f>HYPERLINK("https://klasma.github.io/Logging_1080/tillsynsmail/A 45591-2024 tillsynsbegäran mail.docx", "A 45591-2024")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46224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46224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46224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46224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46224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46224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46224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46224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46224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46224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46224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46224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46224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46224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46224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46224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46224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46224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46224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44585</v>
      </c>
      <c r="E84" s="1" t="n">
        <v>46224</v>
      </c>
      <c r="F84" t="inlineStr">
        <is>
          <t>BLEKINGE LÄN</t>
        </is>
      </c>
      <c r="G84" t="inlineStr">
        <is>
          <t>KARLSKRONA</t>
        </is>
      </c>
      <c r="I84" t="n">
        <v>23.9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46224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46224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46224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46224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46224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46224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46224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46224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46224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46224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45935-2021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46224</v>
      </c>
      <c r="F96" t="inlineStr">
        <is>
          <t>BLEKINGE LÄN</t>
        </is>
      </c>
      <c r="G96" t="inlineStr">
        <is>
          <t>KARLSKRONA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46224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44659</v>
      </c>
      <c r="E98" s="1" t="n">
        <v>46224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44411</v>
      </c>
      <c r="E99" s="1" t="n">
        <v>46224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46224</v>
      </c>
      <c r="F100" t="inlineStr">
        <is>
          <t>BLEKINGE LÄN</t>
        </is>
      </c>
      <c r="G100" t="inlineStr">
        <is>
          <t>KARLSKRONA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46224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46224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46224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46224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44399</v>
      </c>
      <c r="E105" s="1" t="n">
        <v>46224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46224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46224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46224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46224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46224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46224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44424</v>
      </c>
      <c r="E112" s="1" t="n">
        <v>46224</v>
      </c>
      <c r="F112" t="inlineStr">
        <is>
          <t>BLEKINGE LÄN</t>
        </is>
      </c>
      <c r="G112" t="inlineStr">
        <is>
          <t>KARLSKRONA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46224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46224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46224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46224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44629</v>
      </c>
      <c r="E117" s="1" t="n">
        <v>46224</v>
      </c>
      <c r="F117" t="inlineStr">
        <is>
          <t>BLEKINGE LÄN</t>
        </is>
      </c>
      <c r="G117" t="inlineStr">
        <is>
          <t>KARLSKRONA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46224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46224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46224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46224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46224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46224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46224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46224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46224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46224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46224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46224</v>
      </c>
      <c r="F129" t="inlineStr">
        <is>
          <t>BLEKINGE LÄN</t>
        </is>
      </c>
      <c r="G129" t="inlineStr">
        <is>
          <t>KARLSKRONA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46224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46224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46224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46224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46224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46224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46224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46224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46224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46224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46224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46224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46224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46224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46224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46224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46224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46224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46224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46224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44440</v>
      </c>
      <c r="E150" s="1" t="n">
        <v>46224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46224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44425</v>
      </c>
      <c r="E152" s="1" t="n">
        <v>46224</v>
      </c>
      <c r="F152" t="inlineStr">
        <is>
          <t>BLEKINGE LÄN</t>
        </is>
      </c>
      <c r="G152" t="inlineStr">
        <is>
          <t>KARLSKRONA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46224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46224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46224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46224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46224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18656-2022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46224</v>
      </c>
      <c r="F158" t="inlineStr">
        <is>
          <t>BLEKINGE LÄN</t>
        </is>
      </c>
      <c r="G158" t="inlineStr">
        <is>
          <t>KARLSKRONA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46224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46224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46224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46224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46224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46224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46224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46224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46224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46224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14954-2022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44657</v>
      </c>
      <c r="E169" s="1" t="n">
        <v>46224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46224</v>
      </c>
      <c r="F170" t="inlineStr">
        <is>
          <t>BLEKINGE LÄN</t>
        </is>
      </c>
      <c r="G170" t="inlineStr">
        <is>
          <t>KARLSKRONA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46224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46224</v>
      </c>
      <c r="F172" t="inlineStr">
        <is>
          <t>BLEKINGE LÄN</t>
        </is>
      </c>
      <c r="G172" t="inlineStr">
        <is>
          <t>KARLSKRONA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46224</v>
      </c>
      <c r="F173" t="inlineStr">
        <is>
          <t>BLEKINGE LÄN</t>
        </is>
      </c>
      <c r="G173" t="inlineStr">
        <is>
          <t>KARLSKRONA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46224</v>
      </c>
      <c r="F174" t="inlineStr">
        <is>
          <t>BLEKINGE LÄN</t>
        </is>
      </c>
      <c r="G174" t="inlineStr">
        <is>
          <t>KARLSKRONA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46224</v>
      </c>
      <c r="F175" t="inlineStr">
        <is>
          <t>BLEKINGE LÄN</t>
        </is>
      </c>
      <c r="G175" t="inlineStr">
        <is>
          <t>KARLSKRONA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46224</v>
      </c>
      <c r="F176" t="inlineStr">
        <is>
          <t>BLEKINGE LÄN</t>
        </is>
      </c>
      <c r="G176" t="inlineStr">
        <is>
          <t>KARLSKRONA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24155-2024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45456</v>
      </c>
      <c r="E177" s="1" t="n">
        <v>46224</v>
      </c>
      <c r="F177" t="inlineStr">
        <is>
          <t>BLEKINGE LÄN</t>
        </is>
      </c>
      <c r="G177" t="inlineStr">
        <is>
          <t>KARLSKRONA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46224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46224</v>
      </c>
      <c r="F179" t="inlineStr">
        <is>
          <t>BLEKINGE LÄN</t>
        </is>
      </c>
      <c r="G179" t="inlineStr">
        <is>
          <t>KARLSKRONA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46224</v>
      </c>
      <c r="F180" t="inlineStr">
        <is>
          <t>BLEKINGE LÄN</t>
        </is>
      </c>
      <c r="G180" t="inlineStr">
        <is>
          <t>KARLSKRONA</t>
        </is>
      </c>
      <c r="I180" t="n">
        <v>16.8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46224</v>
      </c>
      <c r="F181" t="inlineStr">
        <is>
          <t>BLEKINGE LÄN</t>
        </is>
      </c>
      <c r="G181" t="inlineStr">
        <is>
          <t>KARLSKRONA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14192-2024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46224</v>
      </c>
      <c r="F182" t="inlineStr">
        <is>
          <t>BLEKINGE LÄN</t>
        </is>
      </c>
      <c r="G182" t="inlineStr">
        <is>
          <t>KARLSKRONA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45108</v>
      </c>
      <c r="E183" s="1" t="n">
        <v>46224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44875</v>
      </c>
      <c r="E184" s="1" t="n">
        <v>46224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46224</v>
      </c>
      <c r="F185" t="inlineStr">
        <is>
          <t>BLEKINGE LÄN</t>
        </is>
      </c>
      <c r="G185" t="inlineStr">
        <is>
          <t>KARLSKRONA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46224</v>
      </c>
      <c r="F186" t="inlineStr">
        <is>
          <t>BLEKINGE LÄN</t>
        </is>
      </c>
      <c r="G186" t="inlineStr">
        <is>
          <t>KARLSKRONA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46224</v>
      </c>
      <c r="F187" t="inlineStr">
        <is>
          <t>BLEKINGE LÄN</t>
        </is>
      </c>
      <c r="G187" t="inlineStr">
        <is>
          <t>KARLSKRONA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46224</v>
      </c>
      <c r="F188" t="inlineStr">
        <is>
          <t>BLEKINGE LÄN</t>
        </is>
      </c>
      <c r="G188" t="inlineStr">
        <is>
          <t>KARLSKRONA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46224</v>
      </c>
      <c r="F189" t="inlineStr">
        <is>
          <t>BLEKINGE LÄN</t>
        </is>
      </c>
      <c r="G189" t="inlineStr">
        <is>
          <t>KARLSKRONA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46224</v>
      </c>
      <c r="F190" t="inlineStr">
        <is>
          <t>BLEKINGE LÄN</t>
        </is>
      </c>
      <c r="G190" t="inlineStr">
        <is>
          <t>KARLSKRONA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46224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27267-2022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44741</v>
      </c>
      <c r="E192" s="1" t="n">
        <v>46224</v>
      </c>
      <c r="F192" t="inlineStr">
        <is>
          <t>BLEKINGE LÄN</t>
        </is>
      </c>
      <c r="G192" t="inlineStr">
        <is>
          <t>KARLSKRONA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46224</v>
      </c>
      <c r="F193" t="inlineStr">
        <is>
          <t>BLEKINGE LÄN</t>
        </is>
      </c>
      <c r="G193" t="inlineStr">
        <is>
          <t>KARLSKRONA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46224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46224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46224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45215</v>
      </c>
      <c r="E197" s="1" t="n">
        <v>46224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45458</v>
      </c>
      <c r="E198" s="1" t="n">
        <v>46224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46224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46224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46224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45019</v>
      </c>
      <c r="E202" s="1" t="n">
        <v>46224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46224</v>
      </c>
      <c r="F203" t="inlineStr">
        <is>
          <t>BLEKINGE LÄN</t>
        </is>
      </c>
      <c r="G203" t="inlineStr">
        <is>
          <t>KARLSKRONA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46224</v>
      </c>
      <c r="F204" t="inlineStr">
        <is>
          <t>BLEKINGE LÄN</t>
        </is>
      </c>
      <c r="G204" t="inlineStr">
        <is>
          <t>KARLSKRONA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74237-2021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44553</v>
      </c>
      <c r="E205" s="1" t="n">
        <v>46224</v>
      </c>
      <c r="F205" t="inlineStr">
        <is>
          <t>BLEKINGE LÄN</t>
        </is>
      </c>
      <c r="G205" t="inlineStr">
        <is>
          <t>KARLSKRONA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45362</v>
      </c>
      <c r="E206" s="1" t="n">
        <v>46224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46224</v>
      </c>
      <c r="F207" t="inlineStr">
        <is>
          <t>BLEKINGE LÄN</t>
        </is>
      </c>
      <c r="G207" t="inlineStr">
        <is>
          <t>KARLSKRONA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44986</v>
      </c>
      <c r="E208" s="1" t="n">
        <v>46224</v>
      </c>
      <c r="F208" t="inlineStr">
        <is>
          <t>BLEKINGE LÄN</t>
        </is>
      </c>
      <c r="G208" t="inlineStr">
        <is>
          <t>KARLSKRONA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44692</v>
      </c>
      <c r="E209" s="1" t="n">
        <v>46224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46224</v>
      </c>
      <c r="F210" t="inlineStr">
        <is>
          <t>BLEKINGE LÄN</t>
        </is>
      </c>
      <c r="G210" t="inlineStr">
        <is>
          <t>KARLSKRONA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46224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44847</v>
      </c>
      <c r="E212" s="1" t="n">
        <v>46224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46224</v>
      </c>
      <c r="F213" t="inlineStr">
        <is>
          <t>BLEKINGE LÄN</t>
        </is>
      </c>
      <c r="G213" t="inlineStr">
        <is>
          <t>KARLSKRONA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46224</v>
      </c>
      <c r="F214" t="inlineStr">
        <is>
          <t>BLEKINGE LÄN</t>
        </is>
      </c>
      <c r="G214" t="inlineStr">
        <is>
          <t>KARLSKRONA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45257</v>
      </c>
      <c r="E215" s="1" t="n">
        <v>46224</v>
      </c>
      <c r="F215" t="inlineStr">
        <is>
          <t>BLEKINGE LÄN</t>
        </is>
      </c>
      <c r="G215" t="inlineStr">
        <is>
          <t>KARLSKRONA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46224</v>
      </c>
      <c r="F216" t="inlineStr">
        <is>
          <t>BLEKINGE LÄN</t>
        </is>
      </c>
      <c r="G216" t="inlineStr">
        <is>
          <t>KARLSKRONA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45028</v>
      </c>
      <c r="E217" s="1" t="n">
        <v>46224</v>
      </c>
      <c r="F217" t="inlineStr">
        <is>
          <t>BLEKINGE LÄN</t>
        </is>
      </c>
      <c r="G217" t="inlineStr">
        <is>
          <t>KARLSKRONA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46224</v>
      </c>
      <c r="F218" t="inlineStr">
        <is>
          <t>BLEKINGE LÄN</t>
        </is>
      </c>
      <c r="G218" t="inlineStr">
        <is>
          <t>KARLSKRONA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72273-2021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44545</v>
      </c>
      <c r="E219" s="1" t="n">
        <v>46224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45785</v>
      </c>
      <c r="E220" s="1" t="n">
        <v>46224</v>
      </c>
      <c r="F220" t="inlineStr">
        <is>
          <t>BLEKINGE LÄN</t>
        </is>
      </c>
      <c r="G220" t="inlineStr">
        <is>
          <t>KARLSKRONA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46224</v>
      </c>
      <c r="F221" t="inlineStr">
        <is>
          <t>BLEKINGE LÄN</t>
        </is>
      </c>
      <c r="G221" t="inlineStr">
        <is>
          <t>KARLSKRONA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59349-2021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44491</v>
      </c>
      <c r="E222" s="1" t="n">
        <v>46224</v>
      </c>
      <c r="F222" t="inlineStr">
        <is>
          <t>BLEKINGE LÄN</t>
        </is>
      </c>
      <c r="G222" t="inlineStr">
        <is>
          <t>KARLSKRONA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6953-2023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44967</v>
      </c>
      <c r="E223" s="1" t="n">
        <v>46224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46224</v>
      </c>
      <c r="F224" t="inlineStr">
        <is>
          <t>BLEKINGE LÄN</t>
        </is>
      </c>
      <c r="G224" t="inlineStr">
        <is>
          <t>KARLSKRONA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46224</v>
      </c>
      <c r="F225" t="inlineStr">
        <is>
          <t>BLEKINGE LÄN</t>
        </is>
      </c>
      <c r="G225" t="inlineStr">
        <is>
          <t>KARLSKRONA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60538-2021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46224</v>
      </c>
      <c r="F226" t="inlineStr">
        <is>
          <t>BLEKINGE LÄN</t>
        </is>
      </c>
      <c r="G226" t="inlineStr">
        <is>
          <t>KARLSKRONA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46224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45020</v>
      </c>
      <c r="E228" s="1" t="n">
        <v>46224</v>
      </c>
      <c r="F228" t="inlineStr">
        <is>
          <t>BLEKINGE LÄN</t>
        </is>
      </c>
      <c r="G228" t="inlineStr">
        <is>
          <t>KARLSKRONA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44592</v>
      </c>
      <c r="E229" s="1" t="n">
        <v>46224</v>
      </c>
      <c r="F229" t="inlineStr">
        <is>
          <t>BLEKINGE LÄN</t>
        </is>
      </c>
      <c r="G229" t="inlineStr">
        <is>
          <t>KARLSKRONA</t>
        </is>
      </c>
      <c r="H229" t="inlineStr">
        <is>
          <t>Kommuner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45656</v>
      </c>
      <c r="E230" s="1" t="n">
        <v>46224</v>
      </c>
      <c r="F230" t="inlineStr">
        <is>
          <t>BLEKINGE LÄN</t>
        </is>
      </c>
      <c r="G230" t="inlineStr">
        <is>
          <t>KARLSKRONA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46224</v>
      </c>
      <c r="F231" t="inlineStr">
        <is>
          <t>BLEKINGE LÄN</t>
        </is>
      </c>
      <c r="G231" t="inlineStr">
        <is>
          <t>KARLSKRONA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46224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46224</v>
      </c>
      <c r="F233" t="inlineStr">
        <is>
          <t>BLEKINGE LÄN</t>
        </is>
      </c>
      <c r="G233" t="inlineStr">
        <is>
          <t>KARLSKRONA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46224</v>
      </c>
      <c r="F234" t="inlineStr">
        <is>
          <t>BLEKINGE LÄN</t>
        </is>
      </c>
      <c r="G234" t="inlineStr">
        <is>
          <t>KARLSKRONA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45384</v>
      </c>
      <c r="E235" s="1" t="n">
        <v>46224</v>
      </c>
      <c r="F235" t="inlineStr">
        <is>
          <t>BLEKINGE LÄN</t>
        </is>
      </c>
      <c r="G235" t="inlineStr">
        <is>
          <t>KARLSKRONA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46224</v>
      </c>
      <c r="F236" t="inlineStr">
        <is>
          <t>BLEKINGE LÄN</t>
        </is>
      </c>
      <c r="G236" t="inlineStr">
        <is>
          <t>KARLSKRONA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45540</v>
      </c>
      <c r="E237" s="1" t="n">
        <v>46224</v>
      </c>
      <c r="F237" t="inlineStr">
        <is>
          <t>BLEKINGE LÄN</t>
        </is>
      </c>
      <c r="G237" t="inlineStr">
        <is>
          <t>KARLSKRONA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38619-2023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45162</v>
      </c>
      <c r="E238" s="1" t="n">
        <v>46224</v>
      </c>
      <c r="F238" t="inlineStr">
        <is>
          <t>BLEKINGE LÄN</t>
        </is>
      </c>
      <c r="G238" t="inlineStr">
        <is>
          <t>KARLSKRONA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46224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45737</v>
      </c>
      <c r="E240" s="1" t="n">
        <v>46224</v>
      </c>
      <c r="F240" t="inlineStr">
        <is>
          <t>BLEKINGE LÄN</t>
        </is>
      </c>
      <c r="G240" t="inlineStr">
        <is>
          <t>KARLSKRONA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9763-2022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44619</v>
      </c>
      <c r="E241" s="1" t="n">
        <v>46224</v>
      </c>
      <c r="F241" t="inlineStr">
        <is>
          <t>BLEKINGE LÄN</t>
        </is>
      </c>
      <c r="G241" t="inlineStr">
        <is>
          <t>KARLSKRONA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45028</v>
      </c>
      <c r="E242" s="1" t="n">
        <v>46224</v>
      </c>
      <c r="F242" t="inlineStr">
        <is>
          <t>BLEKINGE LÄN</t>
        </is>
      </c>
      <c r="G242" t="inlineStr">
        <is>
          <t>KARLSKRONA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46224</v>
      </c>
      <c r="F243" t="inlineStr">
        <is>
          <t>BLEKINGE LÄN</t>
        </is>
      </c>
      <c r="G243" t="inlineStr">
        <is>
          <t>KARLSKRONA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46224</v>
      </c>
      <c r="F244" t="inlineStr">
        <is>
          <t>BLEKINGE LÄN</t>
        </is>
      </c>
      <c r="G244" t="inlineStr">
        <is>
          <t>KARLSKRONA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19150-2022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44691</v>
      </c>
      <c r="E245" s="1" t="n">
        <v>46224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45797</v>
      </c>
      <c r="E246" s="1" t="n">
        <v>46224</v>
      </c>
      <c r="F246" t="inlineStr">
        <is>
          <t>BLEKINGE LÄN</t>
        </is>
      </c>
      <c r="G246" t="inlineStr">
        <is>
          <t>KARLSKRONA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45797</v>
      </c>
      <c r="E247" s="1" t="n">
        <v>46224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46224</v>
      </c>
      <c r="F248" t="inlineStr">
        <is>
          <t>BLEKINGE LÄN</t>
        </is>
      </c>
      <c r="G248" t="inlineStr">
        <is>
          <t>KARLSKRONA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46224</v>
      </c>
      <c r="F249" t="inlineStr">
        <is>
          <t>BLEKINGE LÄN</t>
        </is>
      </c>
      <c r="G249" t="inlineStr">
        <is>
          <t>KARLSKRONA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46224</v>
      </c>
      <c r="F250" t="inlineStr">
        <is>
          <t>BLEKINGE LÄN</t>
        </is>
      </c>
      <c r="G250" t="inlineStr">
        <is>
          <t>KARLSKRONA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46224</v>
      </c>
      <c r="F251" t="inlineStr">
        <is>
          <t>BLEKINGE LÄN</t>
        </is>
      </c>
      <c r="G251" t="inlineStr">
        <is>
          <t>KARLSKRONA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44706</v>
      </c>
      <c r="E252" s="1" t="n">
        <v>46224</v>
      </c>
      <c r="F252" t="inlineStr">
        <is>
          <t>BLEKINGE LÄN</t>
        </is>
      </c>
      <c r="G252" t="inlineStr">
        <is>
          <t>KARLSKRONA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46224</v>
      </c>
      <c r="F253" t="inlineStr">
        <is>
          <t>BLEKINGE LÄN</t>
        </is>
      </c>
      <c r="G253" t="inlineStr">
        <is>
          <t>KARLSKRONA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45693</v>
      </c>
      <c r="E254" s="1" t="n">
        <v>46224</v>
      </c>
      <c r="F254" t="inlineStr">
        <is>
          <t>BLEKINGE LÄN</t>
        </is>
      </c>
      <c r="G254" t="inlineStr">
        <is>
          <t>KARLSKRONA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45581</v>
      </c>
      <c r="E255" s="1" t="n">
        <v>46224</v>
      </c>
      <c r="F255" t="inlineStr">
        <is>
          <t>BLEKINGE LÄN</t>
        </is>
      </c>
      <c r="G255" t="inlineStr">
        <is>
          <t>KARLSKRONA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45483</v>
      </c>
      <c r="E256" s="1" t="n">
        <v>46224</v>
      </c>
      <c r="F256" t="inlineStr">
        <is>
          <t>BLEKINGE LÄN</t>
        </is>
      </c>
      <c r="G256" t="inlineStr">
        <is>
          <t>KARLSKRONA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46224</v>
      </c>
      <c r="F257" t="inlineStr">
        <is>
          <t>BLEKINGE LÄN</t>
        </is>
      </c>
      <c r="G257" t="inlineStr">
        <is>
          <t>KARLSKRONA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45727</v>
      </c>
      <c r="E258" s="1" t="n">
        <v>46224</v>
      </c>
      <c r="F258" t="inlineStr">
        <is>
          <t>BLEKINGE LÄN</t>
        </is>
      </c>
      <c r="G258" t="inlineStr">
        <is>
          <t>KARLSKRONA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45335</v>
      </c>
      <c r="E259" s="1" t="n">
        <v>46224</v>
      </c>
      <c r="F259" t="inlineStr">
        <is>
          <t>BLEKINGE LÄN</t>
        </is>
      </c>
      <c r="G259" t="inlineStr">
        <is>
          <t>KARLSKRONA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44757</v>
      </c>
      <c r="E260" s="1" t="n">
        <v>46224</v>
      </c>
      <c r="F260" t="inlineStr">
        <is>
          <t>BLEKINGE LÄN</t>
        </is>
      </c>
      <c r="G260" t="inlineStr">
        <is>
          <t>KARLSKRONA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46224</v>
      </c>
      <c r="F261" t="inlineStr">
        <is>
          <t>BLEKINGE LÄN</t>
        </is>
      </c>
      <c r="G261" t="inlineStr">
        <is>
          <t>KARLSKRONA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46224</v>
      </c>
      <c r="F262" t="inlineStr">
        <is>
          <t>BLEKINGE LÄN</t>
        </is>
      </c>
      <c r="G262" t="inlineStr">
        <is>
          <t>KARLSKRONA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46224</v>
      </c>
      <c r="F263" t="inlineStr">
        <is>
          <t>BLEKINGE LÄN</t>
        </is>
      </c>
      <c r="G263" t="inlineStr">
        <is>
          <t>KARLSKRONA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44593</v>
      </c>
      <c r="E264" s="1" t="n">
        <v>46224</v>
      </c>
      <c r="F264" t="inlineStr">
        <is>
          <t>BLEKINGE LÄN</t>
        </is>
      </c>
      <c r="G264" t="inlineStr">
        <is>
          <t>KARLSKRONA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46224</v>
      </c>
      <c r="F265" t="inlineStr">
        <is>
          <t>BLEKINGE LÄN</t>
        </is>
      </c>
      <c r="G265" t="inlineStr">
        <is>
          <t>KARLSKRONA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45328</v>
      </c>
      <c r="E266" s="1" t="n">
        <v>46224</v>
      </c>
      <c r="F266" t="inlineStr">
        <is>
          <t>BLEKINGE LÄN</t>
        </is>
      </c>
      <c r="G266" t="inlineStr">
        <is>
          <t>KARLSKRONA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46224</v>
      </c>
      <c r="F267" t="inlineStr">
        <is>
          <t>BLEKINGE LÄN</t>
        </is>
      </c>
      <c r="G267" t="inlineStr">
        <is>
          <t>KARLSKRONA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46224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45012</v>
      </c>
      <c r="E269" s="1" t="n">
        <v>46224</v>
      </c>
      <c r="F269" t="inlineStr">
        <is>
          <t>BLEKINGE LÄN</t>
        </is>
      </c>
      <c r="G269" t="inlineStr">
        <is>
          <t>KARLSKRONA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46224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45234</v>
      </c>
      <c r="E271" s="1" t="n">
        <v>46224</v>
      </c>
      <c r="F271" t="inlineStr">
        <is>
          <t>BLEKINGE LÄN</t>
        </is>
      </c>
      <c r="G271" t="inlineStr">
        <is>
          <t>KARLSKRONA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46224</v>
      </c>
      <c r="F272" t="inlineStr">
        <is>
          <t>BLEKINGE LÄN</t>
        </is>
      </c>
      <c r="G272" t="inlineStr">
        <is>
          <t>KARLSKRONA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46224</v>
      </c>
      <c r="F273" t="inlineStr">
        <is>
          <t>BLEKINGE LÄN</t>
        </is>
      </c>
      <c r="G273" t="inlineStr">
        <is>
          <t>KARLSKRONA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46224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44636</v>
      </c>
      <c r="E275" s="1" t="n">
        <v>46224</v>
      </c>
      <c r="F275" t="inlineStr">
        <is>
          <t>BLEKINGE LÄN</t>
        </is>
      </c>
      <c r="G275" t="inlineStr">
        <is>
          <t>KARLSKRONA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45568</v>
      </c>
      <c r="E276" s="1" t="n">
        <v>46224</v>
      </c>
      <c r="F276" t="inlineStr">
        <is>
          <t>BLEKINGE LÄN</t>
        </is>
      </c>
      <c r="G276" t="inlineStr">
        <is>
          <t>KARLSKRONA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46224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45028</v>
      </c>
      <c r="E278" s="1" t="n">
        <v>46224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45028</v>
      </c>
      <c r="E279" s="1" t="n">
        <v>46224</v>
      </c>
      <c r="F279" t="inlineStr">
        <is>
          <t>BLEKINGE LÄN</t>
        </is>
      </c>
      <c r="G279" t="inlineStr">
        <is>
          <t>KARLSKRONA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44988</v>
      </c>
      <c r="E280" s="1" t="n">
        <v>46224</v>
      </c>
      <c r="F280" t="inlineStr">
        <is>
          <t>BLEKINGE LÄN</t>
        </is>
      </c>
      <c r="G280" t="inlineStr">
        <is>
          <t>KARLSKRONA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44584</v>
      </c>
      <c r="E281" s="1" t="n">
        <v>46224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46224</v>
      </c>
      <c r="F282" t="inlineStr">
        <is>
          <t>BLEKINGE LÄN</t>
        </is>
      </c>
      <c r="G282" t="inlineStr">
        <is>
          <t>KARLSKRONA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44592</v>
      </c>
      <c r="E283" s="1" t="n">
        <v>46224</v>
      </c>
      <c r="F283" t="inlineStr">
        <is>
          <t>BLEKINGE LÄN</t>
        </is>
      </c>
      <c r="G283" t="inlineStr">
        <is>
          <t>KARLSKRONA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46224</v>
      </c>
      <c r="F284" t="inlineStr">
        <is>
          <t>BLEKINGE LÄN</t>
        </is>
      </c>
      <c r="G284" t="inlineStr">
        <is>
          <t>KARLSKRONA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46224</v>
      </c>
      <c r="F285" t="inlineStr">
        <is>
          <t>BLEKINGE LÄN</t>
        </is>
      </c>
      <c r="G285" t="inlineStr">
        <is>
          <t>KARLSKRONA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46224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46224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46224</v>
      </c>
      <c r="F288" t="inlineStr">
        <is>
          <t>BLEKINGE LÄN</t>
        </is>
      </c>
      <c r="G288" t="inlineStr">
        <is>
          <t>KARLSKRONA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44512</v>
      </c>
      <c r="E289" s="1" t="n">
        <v>46224</v>
      </c>
      <c r="F289" t="inlineStr">
        <is>
          <t>BLEKINGE LÄN</t>
        </is>
      </c>
      <c r="G289" t="inlineStr">
        <is>
          <t>KARLSKRONA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46224</v>
      </c>
      <c r="F290" t="inlineStr">
        <is>
          <t>BLEKINGE LÄN</t>
        </is>
      </c>
      <c r="G290" t="inlineStr">
        <is>
          <t>KARLSKRONA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46224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21880-2024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45443</v>
      </c>
      <c r="E292" s="1" t="n">
        <v>46224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46224</v>
      </c>
      <c r="F293" t="inlineStr">
        <is>
          <t>BLEKINGE LÄN</t>
        </is>
      </c>
      <c r="G293" t="inlineStr">
        <is>
          <t>KARLSKRONA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46224</v>
      </c>
      <c r="F294" t="inlineStr">
        <is>
          <t>BLEKINGE LÄN</t>
        </is>
      </c>
      <c r="G294" t="inlineStr">
        <is>
          <t>KARLSKRONA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46224</v>
      </c>
      <c r="F295" t="inlineStr">
        <is>
          <t>BLEKINGE LÄN</t>
        </is>
      </c>
      <c r="G295" t="inlineStr">
        <is>
          <t>KARLSKRONA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46224</v>
      </c>
      <c r="F296" t="inlineStr">
        <is>
          <t>BLEKINGE LÄN</t>
        </is>
      </c>
      <c r="G296" t="inlineStr">
        <is>
          <t>KARLSKRONA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46224</v>
      </c>
      <c r="F297" t="inlineStr">
        <is>
          <t>BLEKINGE LÄN</t>
        </is>
      </c>
      <c r="G297" t="inlineStr">
        <is>
          <t>KARLSKRONA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46224</v>
      </c>
      <c r="F298" t="inlineStr">
        <is>
          <t>BLEKINGE LÄN</t>
        </is>
      </c>
      <c r="G298" t="inlineStr">
        <is>
          <t>KARLSKRONA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46224</v>
      </c>
      <c r="F299" t="inlineStr">
        <is>
          <t>BLEKINGE LÄN</t>
        </is>
      </c>
      <c r="G299" t="inlineStr">
        <is>
          <t>KARLSKRONA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45001</v>
      </c>
      <c r="E300" s="1" t="n">
        <v>46224</v>
      </c>
      <c r="F300" t="inlineStr">
        <is>
          <t>BLEKINGE LÄN</t>
        </is>
      </c>
      <c r="G300" t="inlineStr">
        <is>
          <t>KARLSKRONA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46224</v>
      </c>
      <c r="F301" t="inlineStr">
        <is>
          <t>BLEKINGE LÄN</t>
        </is>
      </c>
      <c r="G301" t="inlineStr">
        <is>
          <t>KARLSKRONA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45925</v>
      </c>
      <c r="E302" s="1" t="n">
        <v>46224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46224</v>
      </c>
      <c r="F303" t="inlineStr">
        <is>
          <t>BLEKINGE LÄN</t>
        </is>
      </c>
      <c r="G303" t="inlineStr">
        <is>
          <t>KARLSKRONA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46224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44587</v>
      </c>
      <c r="E305" s="1" t="n">
        <v>46224</v>
      </c>
      <c r="F305" t="inlineStr">
        <is>
          <t>BLEKINGE LÄN</t>
        </is>
      </c>
      <c r="G305" t="inlineStr">
        <is>
          <t>KARLSKRONA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46224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46224</v>
      </c>
      <c r="F307" t="inlineStr">
        <is>
          <t>BLEKINGE LÄN</t>
        </is>
      </c>
      <c r="G307" t="inlineStr">
        <is>
          <t>KARLSKRONA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46224</v>
      </c>
      <c r="F308" t="inlineStr">
        <is>
          <t>BLEKINGE LÄN</t>
        </is>
      </c>
      <c r="G308" t="inlineStr">
        <is>
          <t>KARLSKRONA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46224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46224</v>
      </c>
      <c r="F310" t="inlineStr">
        <is>
          <t>BLEKINGE LÄN</t>
        </is>
      </c>
      <c r="G310" t="inlineStr">
        <is>
          <t>KARLSKRONA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46224</v>
      </c>
      <c r="F311" t="inlineStr">
        <is>
          <t>BLEKINGE LÄN</t>
        </is>
      </c>
      <c r="G311" t="inlineStr">
        <is>
          <t>KARLSKRONA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46224</v>
      </c>
      <c r="F312" t="inlineStr">
        <is>
          <t>BLEKINGE LÄN</t>
        </is>
      </c>
      <c r="G312" t="inlineStr">
        <is>
          <t>KARLSKRONA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45532</v>
      </c>
      <c r="E313" s="1" t="n">
        <v>46224</v>
      </c>
      <c r="F313" t="inlineStr">
        <is>
          <t>BLEKINGE LÄN</t>
        </is>
      </c>
      <c r="G313" t="inlineStr">
        <is>
          <t>KARLSKRONA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45532</v>
      </c>
      <c r="E314" s="1" t="n">
        <v>46224</v>
      </c>
      <c r="F314" t="inlineStr">
        <is>
          <t>BLEKINGE LÄN</t>
        </is>
      </c>
      <c r="G314" t="inlineStr">
        <is>
          <t>KARLSKRONA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46224</v>
      </c>
      <c r="F315" t="inlineStr">
        <is>
          <t>BLEKINGE LÄN</t>
        </is>
      </c>
      <c r="G315" t="inlineStr">
        <is>
          <t>KARLSKRONA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46224</v>
      </c>
      <c r="F316" t="inlineStr">
        <is>
          <t>BLEKINGE LÄN</t>
        </is>
      </c>
      <c r="G316" t="inlineStr">
        <is>
          <t>KARLSKRONA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46224</v>
      </c>
      <c r="F317" t="inlineStr">
        <is>
          <t>BLEKINGE LÄN</t>
        </is>
      </c>
      <c r="G317" t="inlineStr">
        <is>
          <t>KARLSKRONA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46224</v>
      </c>
      <c r="F318" t="inlineStr">
        <is>
          <t>BLEKINGE LÄN</t>
        </is>
      </c>
      <c r="G318" t="inlineStr">
        <is>
          <t>KARLSKRONA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45711</v>
      </c>
      <c r="E319" s="1" t="n">
        <v>46224</v>
      </c>
      <c r="F319" t="inlineStr">
        <is>
          <t>BLEKINGE LÄN</t>
        </is>
      </c>
      <c r="G319" t="inlineStr">
        <is>
          <t>KARLSKRONA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45256</v>
      </c>
      <c r="E320" s="1" t="n">
        <v>46224</v>
      </c>
      <c r="F320" t="inlineStr">
        <is>
          <t>BLEKINGE LÄN</t>
        </is>
      </c>
      <c r="G320" t="inlineStr">
        <is>
          <t>KARLSKRONA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46027</v>
      </c>
      <c r="E321" s="1" t="n">
        <v>46224</v>
      </c>
      <c r="F321" t="inlineStr">
        <is>
          <t>BLEKINGE LÄN</t>
        </is>
      </c>
      <c r="G321" t="inlineStr">
        <is>
          <t>KARLSKRONA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46224</v>
      </c>
      <c r="F322" t="inlineStr">
        <is>
          <t>BLEKINGE LÄN</t>
        </is>
      </c>
      <c r="G322" t="inlineStr">
        <is>
          <t>KARLSKRONA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46224</v>
      </c>
      <c r="F323" t="inlineStr">
        <is>
          <t>BLEKINGE LÄN</t>
        </is>
      </c>
      <c r="G323" t="inlineStr">
        <is>
          <t>KARLSKRONA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57328-2023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46224</v>
      </c>
      <c r="F324" t="inlineStr">
        <is>
          <t>BLEKINGE LÄN</t>
        </is>
      </c>
      <c r="G324" t="inlineStr">
        <is>
          <t>KARLSKRONA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46224</v>
      </c>
      <c r="F325" t="inlineStr">
        <is>
          <t>BLEKINGE LÄN</t>
        </is>
      </c>
      <c r="G325" t="inlineStr">
        <is>
          <t>KARLSKRONA</t>
        </is>
      </c>
      <c r="I325" t="n">
        <v>12.2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46224</v>
      </c>
      <c r="F326" t="inlineStr">
        <is>
          <t>BLEKINGE LÄN</t>
        </is>
      </c>
      <c r="G326" t="inlineStr">
        <is>
          <t>KARLSKRONA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45812</v>
      </c>
      <c r="E327" s="1" t="n">
        <v>46224</v>
      </c>
      <c r="F327" t="inlineStr">
        <is>
          <t>BLEKINGE LÄN</t>
        </is>
      </c>
      <c r="G327" t="inlineStr">
        <is>
          <t>KARLSKRONA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46224</v>
      </c>
      <c r="F328" t="inlineStr">
        <is>
          <t>BLEKINGE LÄN</t>
        </is>
      </c>
      <c r="G328" t="inlineStr">
        <is>
          <t>KARLSKRONA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45532</v>
      </c>
      <c r="E329" s="1" t="n">
        <v>46224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46224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46224</v>
      </c>
      <c r="F331" t="inlineStr">
        <is>
          <t>BLEKINGE LÄN</t>
        </is>
      </c>
      <c r="G331" t="inlineStr">
        <is>
          <t>KARLSKRONA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46224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46224</v>
      </c>
      <c r="F333" t="inlineStr">
        <is>
          <t>BLEKINGE LÄN</t>
        </is>
      </c>
      <c r="G333" t="inlineStr">
        <is>
          <t>KARLSKRONA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46224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46224</v>
      </c>
      <c r="F335" t="inlineStr">
        <is>
          <t>BLEKINGE LÄN</t>
        </is>
      </c>
      <c r="G335" t="inlineStr">
        <is>
          <t>KARLSKRONA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46224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16783-2024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45411</v>
      </c>
      <c r="E337" s="1" t="n">
        <v>46224</v>
      </c>
      <c r="F337" t="inlineStr">
        <is>
          <t>BLEKINGE LÄN</t>
        </is>
      </c>
      <c r="G337" t="inlineStr">
        <is>
          <t>KARLSKRONA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45697</v>
      </c>
      <c r="E338" s="1" t="n">
        <v>46224</v>
      </c>
      <c r="F338" t="inlineStr">
        <is>
          <t>BLEKINGE LÄN</t>
        </is>
      </c>
      <c r="G338" t="inlineStr">
        <is>
          <t>KARLSKRONA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45048</v>
      </c>
      <c r="E339" s="1" t="n">
        <v>46224</v>
      </c>
      <c r="F339" t="inlineStr">
        <is>
          <t>BLEKINGE LÄN</t>
        </is>
      </c>
      <c r="G339" t="inlineStr">
        <is>
          <t>KARLSKRONA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8094-2022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46224</v>
      </c>
      <c r="F340" t="inlineStr">
        <is>
          <t>BLEKINGE LÄN</t>
        </is>
      </c>
      <c r="G340" t="inlineStr">
        <is>
          <t>KARLSKRONA</t>
        </is>
      </c>
      <c r="H340" t="inlineStr">
        <is>
          <t>Kommuner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46224</v>
      </c>
      <c r="F341" t="inlineStr">
        <is>
          <t>BLEKINGE LÄN</t>
        </is>
      </c>
      <c r="G341" t="inlineStr">
        <is>
          <t>KARLSKRONA</t>
        </is>
      </c>
      <c r="H341" t="inlineStr">
        <is>
          <t>Kommuner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41204-2022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46224</v>
      </c>
      <c r="F342" t="inlineStr">
        <is>
          <t>BLEKINGE LÄN</t>
        </is>
      </c>
      <c r="G342" t="inlineStr">
        <is>
          <t>KARLSKRONA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46224</v>
      </c>
      <c r="F343" t="inlineStr">
        <is>
          <t>BLEKINGE LÄN</t>
        </is>
      </c>
      <c r="G343" t="inlineStr">
        <is>
          <t>KARLSKRONA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46224</v>
      </c>
      <c r="F344" t="inlineStr">
        <is>
          <t>BLEKINGE LÄN</t>
        </is>
      </c>
      <c r="G344" t="inlineStr">
        <is>
          <t>KARLSKRONA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44586</v>
      </c>
      <c r="E345" s="1" t="n">
        <v>46224</v>
      </c>
      <c r="F345" t="inlineStr">
        <is>
          <t>BLEKINGE LÄN</t>
        </is>
      </c>
      <c r="G345" t="inlineStr">
        <is>
          <t>KARLSKRONA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46224</v>
      </c>
      <c r="F346" t="inlineStr">
        <is>
          <t>BLEKINGE LÄN</t>
        </is>
      </c>
      <c r="G346" t="inlineStr">
        <is>
          <t>KARLSKRONA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45602</v>
      </c>
      <c r="E347" s="1" t="n">
        <v>46224</v>
      </c>
      <c r="F347" t="inlineStr">
        <is>
          <t>BLEKINGE LÄN</t>
        </is>
      </c>
      <c r="G347" t="inlineStr">
        <is>
          <t>KARLSKRONA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45735</v>
      </c>
      <c r="E348" s="1" t="n">
        <v>46224</v>
      </c>
      <c r="F348" t="inlineStr">
        <is>
          <t>BLEKINGE LÄN</t>
        </is>
      </c>
      <c r="G348" t="inlineStr">
        <is>
          <t>KARLSKRONA</t>
        </is>
      </c>
      <c r="I348" t="n">
        <v>11.8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45789</v>
      </c>
      <c r="E349" s="1" t="n">
        <v>46224</v>
      </c>
      <c r="F349" t="inlineStr">
        <is>
          <t>BLEKINGE LÄN</t>
        </is>
      </c>
      <c r="G349" t="inlineStr">
        <is>
          <t>KARLSKRONA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45954</v>
      </c>
      <c r="E350" s="1" t="n">
        <v>46224</v>
      </c>
      <c r="F350" t="inlineStr">
        <is>
          <t>BLEKINGE LÄN</t>
        </is>
      </c>
      <c r="G350" t="inlineStr">
        <is>
          <t>KARLSKRONA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46224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45957</v>
      </c>
      <c r="E352" s="1" t="n">
        <v>46224</v>
      </c>
      <c r="F352" t="inlineStr">
        <is>
          <t>BLEKINGE LÄN</t>
        </is>
      </c>
      <c r="G352" t="inlineStr">
        <is>
          <t>KARLSKRONA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46224</v>
      </c>
      <c r="F353" t="inlineStr">
        <is>
          <t>BLEKINGE LÄN</t>
        </is>
      </c>
      <c r="G353" t="inlineStr">
        <is>
          <t>KARLSKRONA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46224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46224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46224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46224</v>
      </c>
      <c r="F357" t="inlineStr">
        <is>
          <t>BLEKINGE LÄN</t>
        </is>
      </c>
      <c r="G357" t="inlineStr">
        <is>
          <t>KARLSKRONA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46224</v>
      </c>
      <c r="F358" t="inlineStr">
        <is>
          <t>BLEKINGE LÄN</t>
        </is>
      </c>
      <c r="G358" t="inlineStr">
        <is>
          <t>KARLSKRONA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46224</v>
      </c>
      <c r="F359" t="inlineStr">
        <is>
          <t>BLEKINGE LÄN</t>
        </is>
      </c>
      <c r="G359" t="inlineStr">
        <is>
          <t>KARLSKRONA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46224</v>
      </c>
      <c r="F360" t="inlineStr">
        <is>
          <t>BLEKINGE LÄN</t>
        </is>
      </c>
      <c r="G360" t="inlineStr">
        <is>
          <t>KARLSKRONA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46224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24179-2022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44725</v>
      </c>
      <c r="E362" s="1" t="n">
        <v>46224</v>
      </c>
      <c r="F362" t="inlineStr">
        <is>
          <t>BLEKINGE LÄN</t>
        </is>
      </c>
      <c r="G362" t="inlineStr">
        <is>
          <t>KARLSKRONA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52696-2023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46224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53864-2025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45961</v>
      </c>
      <c r="E364" s="1" t="n">
        <v>46224</v>
      </c>
      <c r="F364" t="inlineStr">
        <is>
          <t>BLEKINGE LÄN</t>
        </is>
      </c>
      <c r="G364" t="inlineStr">
        <is>
          <t>KARLSKRONA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45309</v>
      </c>
      <c r="E365" s="1" t="n">
        <v>46224</v>
      </c>
      <c r="F365" t="inlineStr">
        <is>
          <t>BLEKINGE LÄN</t>
        </is>
      </c>
      <c r="G365" t="inlineStr">
        <is>
          <t>KARLSKRONA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65639-2021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44516</v>
      </c>
      <c r="E366" s="1" t="n">
        <v>46224</v>
      </c>
      <c r="F366" t="inlineStr">
        <is>
          <t>BLEKINGE LÄN</t>
        </is>
      </c>
      <c r="G366" t="inlineStr">
        <is>
          <t>KARLSKRONA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37196-2025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45875</v>
      </c>
      <c r="E367" s="1" t="n">
        <v>46224</v>
      </c>
      <c r="F367" t="inlineStr">
        <is>
          <t>BLEKINGE LÄN</t>
        </is>
      </c>
      <c r="G367" t="inlineStr">
        <is>
          <t>KARLSKRONA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53850-2025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46224</v>
      </c>
      <c r="F368" t="inlineStr">
        <is>
          <t>BLEKINGE LÄN</t>
        </is>
      </c>
      <c r="G368" t="inlineStr">
        <is>
          <t>KARLSKRONA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53858-2025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46224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45875</v>
      </c>
      <c r="E370" s="1" t="n">
        <v>46224</v>
      </c>
      <c r="F370" t="inlineStr">
        <is>
          <t>BLEKINGE LÄN</t>
        </is>
      </c>
      <c r="G370" t="inlineStr">
        <is>
          <t>KARLSKRONA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45308</v>
      </c>
      <c r="E371" s="1" t="n">
        <v>46224</v>
      </c>
      <c r="F371" t="inlineStr">
        <is>
          <t>BLEKINGE LÄN</t>
        </is>
      </c>
      <c r="G371" t="inlineStr">
        <is>
          <t>KARLSKRONA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42074-2023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45174</v>
      </c>
      <c r="E372" s="1" t="n">
        <v>46224</v>
      </c>
      <c r="F372" t="inlineStr">
        <is>
          <t>BLEKINGE LÄN</t>
        </is>
      </c>
      <c r="G372" t="inlineStr">
        <is>
          <t>KARLSKRONA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46224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45512</v>
      </c>
      <c r="E374" s="1" t="n">
        <v>46224</v>
      </c>
      <c r="F374" t="inlineStr">
        <is>
          <t>BLEKINGE LÄN</t>
        </is>
      </c>
      <c r="G374" t="inlineStr">
        <is>
          <t>KARLSKRONA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46224</v>
      </c>
      <c r="F375" t="inlineStr">
        <is>
          <t>BLEKINGE LÄN</t>
        </is>
      </c>
      <c r="G375" t="inlineStr">
        <is>
          <t>KARLSKRONA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46224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46224</v>
      </c>
      <c r="F377" t="inlineStr">
        <is>
          <t>BLEKINGE LÄN</t>
        </is>
      </c>
      <c r="G377" t="inlineStr">
        <is>
          <t>KARLSKRONA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67336-2021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44523</v>
      </c>
      <c r="E378" s="1" t="n">
        <v>46224</v>
      </c>
      <c r="F378" t="inlineStr">
        <is>
          <t>BLEKINGE LÄN</t>
        </is>
      </c>
      <c r="G378" t="inlineStr">
        <is>
          <t>KARLSKRONA</t>
        </is>
      </c>
      <c r="I378" t="n">
        <v>13.4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44638</v>
      </c>
      <c r="E379" s="1" t="n">
        <v>46224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45972</v>
      </c>
      <c r="E380" s="1" t="n">
        <v>46224</v>
      </c>
      <c r="F380" t="inlineStr">
        <is>
          <t>BLEKINGE LÄN</t>
        </is>
      </c>
      <c r="G380" t="inlineStr">
        <is>
          <t>KARLSKRONA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46224</v>
      </c>
      <c r="F381" t="inlineStr">
        <is>
          <t>BLEKINGE LÄN</t>
        </is>
      </c>
      <c r="G381" t="inlineStr">
        <is>
          <t>KARLSKRONA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45013</v>
      </c>
      <c r="E382" s="1" t="n">
        <v>46224</v>
      </c>
      <c r="F382" t="inlineStr">
        <is>
          <t>BLEKINGE LÄN</t>
        </is>
      </c>
      <c r="G382" t="inlineStr">
        <is>
          <t>KARLSKRONA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45361</v>
      </c>
      <c r="E383" s="1" t="n">
        <v>46224</v>
      </c>
      <c r="F383" t="inlineStr">
        <is>
          <t>BLEKINGE LÄN</t>
        </is>
      </c>
      <c r="G383" t="inlineStr">
        <is>
          <t>KARLSKRONA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46224</v>
      </c>
      <c r="F384" t="inlineStr">
        <is>
          <t>BLEKINGE LÄN</t>
        </is>
      </c>
      <c r="G384" t="inlineStr">
        <is>
          <t>KARLSKRONA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45749</v>
      </c>
      <c r="E385" s="1" t="n">
        <v>46224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46224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46224</v>
      </c>
      <c r="F387" t="inlineStr">
        <is>
          <t>BLEKINGE LÄN</t>
        </is>
      </c>
      <c r="G387" t="inlineStr">
        <is>
          <t>KARLSKRONA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12030-2022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44636</v>
      </c>
      <c r="E388" s="1" t="n">
        <v>46224</v>
      </c>
      <c r="F388" t="inlineStr">
        <is>
          <t>BLEKINGE LÄN</t>
        </is>
      </c>
      <c r="G388" t="inlineStr">
        <is>
          <t>KARLSKRONA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46224</v>
      </c>
      <c r="F389" t="inlineStr">
        <is>
          <t>BLEKINGE LÄN</t>
        </is>
      </c>
      <c r="G389" t="inlineStr">
        <is>
          <t>KARLSKRONA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45707</v>
      </c>
      <c r="E390" s="1" t="n">
        <v>46224</v>
      </c>
      <c r="F390" t="inlineStr">
        <is>
          <t>BLEKINGE LÄN</t>
        </is>
      </c>
      <c r="G390" t="inlineStr">
        <is>
          <t>KARLSKRONA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45095</v>
      </c>
      <c r="E391" s="1" t="n">
        <v>46224</v>
      </c>
      <c r="F391" t="inlineStr">
        <is>
          <t>BLEKINGE LÄN</t>
        </is>
      </c>
      <c r="G391" t="inlineStr">
        <is>
          <t>KARLSKRONA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46224</v>
      </c>
      <c r="F392" t="inlineStr">
        <is>
          <t>BLEKINGE LÄN</t>
        </is>
      </c>
      <c r="G392" t="inlineStr">
        <is>
          <t>KARLSKRONA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46224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48999-2022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46224</v>
      </c>
      <c r="F394" t="inlineStr">
        <is>
          <t>BLEKINGE LÄN</t>
        </is>
      </c>
      <c r="G394" t="inlineStr">
        <is>
          <t>KARLSKRONA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34319-2025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45846</v>
      </c>
      <c r="E395" s="1" t="n">
        <v>46224</v>
      </c>
      <c r="F395" t="inlineStr">
        <is>
          <t>BLEKINGE LÄN</t>
        </is>
      </c>
      <c r="G395" t="inlineStr">
        <is>
          <t>KARLSKRONA</t>
        </is>
      </c>
      <c r="H395" t="inlineStr">
        <is>
          <t>Kommuner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45050</v>
      </c>
      <c r="E396" s="1" t="n">
        <v>46224</v>
      </c>
      <c r="F396" t="inlineStr">
        <is>
          <t>BLEKINGE LÄN</t>
        </is>
      </c>
      <c r="G396" t="inlineStr">
        <is>
          <t>KARLSKRONA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46224</v>
      </c>
      <c r="F397" t="inlineStr">
        <is>
          <t>BLEKINGE LÄN</t>
        </is>
      </c>
      <c r="G397" t="inlineStr">
        <is>
          <t>KARLSKRONA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46224</v>
      </c>
      <c r="F398" t="inlineStr">
        <is>
          <t>BLEKINGE LÄN</t>
        </is>
      </c>
      <c r="G398" t="inlineStr">
        <is>
          <t>KARLSKRONA</t>
        </is>
      </c>
      <c r="H398" t="inlineStr">
        <is>
          <t>Kommuner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45251</v>
      </c>
      <c r="E399" s="1" t="n">
        <v>46224</v>
      </c>
      <c r="F399" t="inlineStr">
        <is>
          <t>BLEKINGE LÄN</t>
        </is>
      </c>
      <c r="G399" t="inlineStr">
        <is>
          <t>KARLSKRONA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45316</v>
      </c>
      <c r="E400" s="1" t="n">
        <v>46224</v>
      </c>
      <c r="F400" t="inlineStr">
        <is>
          <t>BLEKINGE LÄN</t>
        </is>
      </c>
      <c r="G400" t="inlineStr">
        <is>
          <t>KARLSKRONA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9415-2025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45715</v>
      </c>
      <c r="E401" s="1" t="n">
        <v>46224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58159-2023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45250</v>
      </c>
      <c r="E402" s="1" t="n">
        <v>46224</v>
      </c>
      <c r="F402" t="inlineStr">
        <is>
          <t>BLEKINGE LÄN</t>
        </is>
      </c>
      <c r="G402" t="inlineStr">
        <is>
          <t>KARLSKRONA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46224</v>
      </c>
      <c r="F403" t="inlineStr">
        <is>
          <t>BLEKINGE LÄN</t>
        </is>
      </c>
      <c r="G403" t="inlineStr">
        <is>
          <t>KARLSKRONA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46224</v>
      </c>
      <c r="F404" t="inlineStr">
        <is>
          <t>BLEKINGE LÄN</t>
        </is>
      </c>
      <c r="G404" t="inlineStr">
        <is>
          <t>KARLSKRONA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55147-2021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44474</v>
      </c>
      <c r="E405" s="1" t="n">
        <v>46224</v>
      </c>
      <c r="F405" t="inlineStr">
        <is>
          <t>BLEKINGE LÄN</t>
        </is>
      </c>
      <c r="G405" t="inlineStr">
        <is>
          <t>KARLSKRONA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60924-2024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46224</v>
      </c>
      <c r="F406" t="inlineStr">
        <is>
          <t>BLEKINGE LÄN</t>
        </is>
      </c>
      <c r="G406" t="inlineStr">
        <is>
          <t>KARLSKRONA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46224</v>
      </c>
      <c r="F407" t="inlineStr">
        <is>
          <t>BLEKINGE LÄN</t>
        </is>
      </c>
      <c r="G407" t="inlineStr">
        <is>
          <t>KARLSKRONA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46224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51270-2021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44461</v>
      </c>
      <c r="E409" s="1" t="n">
        <v>46224</v>
      </c>
      <c r="F409" t="inlineStr">
        <is>
          <t>BLEKINGE LÄN</t>
        </is>
      </c>
      <c r="G409" t="inlineStr">
        <is>
          <t>KARLSKRONA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8799-2024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45335</v>
      </c>
      <c r="E410" s="1" t="n">
        <v>46224</v>
      </c>
      <c r="F410" t="inlineStr">
        <is>
          <t>BLEKINGE LÄN</t>
        </is>
      </c>
      <c r="G410" t="inlineStr">
        <is>
          <t>KARLSKRONA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46224</v>
      </c>
      <c r="F411" t="inlineStr">
        <is>
          <t>BLEKINGE LÄN</t>
        </is>
      </c>
      <c r="G411" t="inlineStr">
        <is>
          <t>KARLSKRONA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45334</v>
      </c>
      <c r="E412" s="1" t="n">
        <v>46224</v>
      </c>
      <c r="F412" t="inlineStr">
        <is>
          <t>BLEKINGE LÄN</t>
        </is>
      </c>
      <c r="G412" t="inlineStr">
        <is>
          <t>KARLSKRONA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11024-2024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45370</v>
      </c>
      <c r="E413" s="1" t="n">
        <v>46224</v>
      </c>
      <c r="F413" t="inlineStr">
        <is>
          <t>BLEKINGE LÄN</t>
        </is>
      </c>
      <c r="G413" t="inlineStr">
        <is>
          <t>KARLSKRONA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46055</v>
      </c>
      <c r="E414" s="1" t="n">
        <v>46224</v>
      </c>
      <c r="F414" t="inlineStr">
        <is>
          <t>BLEKINGE LÄN</t>
        </is>
      </c>
      <c r="G414" t="inlineStr">
        <is>
          <t>KARLSKRONA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46049</v>
      </c>
      <c r="E415" s="1" t="n">
        <v>46224</v>
      </c>
      <c r="F415" t="inlineStr">
        <is>
          <t>BLEKINGE LÄN</t>
        </is>
      </c>
      <c r="G415" t="inlineStr">
        <is>
          <t>KARLSKRONA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40219-2023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46224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46224</v>
      </c>
      <c r="F417" t="inlineStr">
        <is>
          <t>BLEKINGE LÄN</t>
        </is>
      </c>
      <c r="G417" t="inlineStr">
        <is>
          <t>KARLSKRONA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46224</v>
      </c>
      <c r="F418" t="inlineStr">
        <is>
          <t>BLEKINGE LÄN</t>
        </is>
      </c>
      <c r="G418" t="inlineStr">
        <is>
          <t>KARLSKRONA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46224</v>
      </c>
      <c r="F419" t="inlineStr">
        <is>
          <t>BLEKINGE LÄN</t>
        </is>
      </c>
      <c r="G419" t="inlineStr">
        <is>
          <t>KARLSKRONA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46051</v>
      </c>
      <c r="E420" s="1" t="n">
        <v>46224</v>
      </c>
      <c r="F420" t="inlineStr">
        <is>
          <t>BLEKINGE LÄN</t>
        </is>
      </c>
      <c r="G420" t="inlineStr">
        <is>
          <t>KARLSKRONA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46224</v>
      </c>
      <c r="F421" t="inlineStr">
        <is>
          <t>BLEKINGE LÄN</t>
        </is>
      </c>
      <c r="G421" t="inlineStr">
        <is>
          <t>KARLSKRONA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73356-2021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44551</v>
      </c>
      <c r="E422" s="1" t="n">
        <v>46224</v>
      </c>
      <c r="F422" t="inlineStr">
        <is>
          <t>BLEKINGE LÄN</t>
        </is>
      </c>
      <c r="G422" t="inlineStr">
        <is>
          <t>KARLSKRONA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46224</v>
      </c>
      <c r="F423" t="inlineStr">
        <is>
          <t>BLEKINGE LÄN</t>
        </is>
      </c>
      <c r="G423" t="inlineStr">
        <is>
          <t>KARLSKRONA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46051</v>
      </c>
      <c r="E424" s="1" t="n">
        <v>46224</v>
      </c>
      <c r="F424" t="inlineStr">
        <is>
          <t>BLEKINGE LÄN</t>
        </is>
      </c>
      <c r="G424" t="inlineStr">
        <is>
          <t>KARLSKRONA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46224</v>
      </c>
      <c r="F425" t="inlineStr">
        <is>
          <t>BLEKINGE LÄN</t>
        </is>
      </c>
      <c r="G425" t="inlineStr">
        <is>
          <t>KARLSKRONA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57996-2024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45631</v>
      </c>
      <c r="E426" s="1" t="n">
        <v>46224</v>
      </c>
      <c r="F426" t="inlineStr">
        <is>
          <t>BLEKINGE LÄN</t>
        </is>
      </c>
      <c r="G426" t="inlineStr">
        <is>
          <t>KARLSKRONA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45334</v>
      </c>
      <c r="E427" s="1" t="n">
        <v>46224</v>
      </c>
      <c r="F427" t="inlineStr">
        <is>
          <t>BLEKINGE LÄN</t>
        </is>
      </c>
      <c r="G427" t="inlineStr">
        <is>
          <t>KARLSKRONA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46224</v>
      </c>
      <c r="F428" t="inlineStr">
        <is>
          <t>BLEKINGE LÄN</t>
        </is>
      </c>
      <c r="G428" t="inlineStr">
        <is>
          <t>KARLSKRONA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45133</v>
      </c>
      <c r="E429" s="1" t="n">
        <v>46224</v>
      </c>
      <c r="F429" t="inlineStr">
        <is>
          <t>BLEKINGE LÄN</t>
        </is>
      </c>
      <c r="G429" t="inlineStr">
        <is>
          <t>KARLSKRONA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46224</v>
      </c>
      <c r="F430" t="inlineStr">
        <is>
          <t>BLEKINGE LÄN</t>
        </is>
      </c>
      <c r="G430" t="inlineStr">
        <is>
          <t>KARLSKRONA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44874</v>
      </c>
      <c r="E431" s="1" t="n">
        <v>46224</v>
      </c>
      <c r="F431" t="inlineStr">
        <is>
          <t>BLEKINGE LÄN</t>
        </is>
      </c>
      <c r="G431" t="inlineStr">
        <is>
          <t>KARLSKRONA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46224</v>
      </c>
      <c r="F432" t="inlineStr">
        <is>
          <t>BLEKINGE LÄN</t>
        </is>
      </c>
      <c r="G432" t="inlineStr">
        <is>
          <t>KARLSKRONA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46224</v>
      </c>
      <c r="F433" t="inlineStr">
        <is>
          <t>BLEKINGE LÄN</t>
        </is>
      </c>
      <c r="G433" t="inlineStr">
        <is>
          <t>KARLSKRONA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46224</v>
      </c>
      <c r="F434" t="inlineStr">
        <is>
          <t>BLEKINGE LÄN</t>
        </is>
      </c>
      <c r="G434" t="inlineStr">
        <is>
          <t>KARLSKRONA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46224</v>
      </c>
      <c r="F435" t="inlineStr">
        <is>
          <t>BLEKINGE LÄN</t>
        </is>
      </c>
      <c r="G435" t="inlineStr">
        <is>
          <t>KARLSKRONA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46224</v>
      </c>
      <c r="F436" t="inlineStr">
        <is>
          <t>BLEKINGE LÄN</t>
        </is>
      </c>
      <c r="G436" t="inlineStr">
        <is>
          <t>KARLSKRONA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61679-2024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45647</v>
      </c>
      <c r="E437" s="1" t="n">
        <v>46224</v>
      </c>
      <c r="F437" t="inlineStr">
        <is>
          <t>BLEKINGE LÄN</t>
        </is>
      </c>
      <c r="G437" t="inlineStr">
        <is>
          <t>KARLSKRONA</t>
        </is>
      </c>
      <c r="I437" t="n">
        <v>20.2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17552-2024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45415</v>
      </c>
      <c r="E438" s="1" t="n">
        <v>46224</v>
      </c>
      <c r="F438" t="inlineStr">
        <is>
          <t>BLEKINGE LÄN</t>
        </is>
      </c>
      <c r="G438" t="inlineStr">
        <is>
          <t>KARLSKRONA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46224</v>
      </c>
      <c r="F439" t="inlineStr">
        <is>
          <t>BLEKINGE LÄN</t>
        </is>
      </c>
      <c r="G439" t="inlineStr">
        <is>
          <t>KARLSKRONA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45156</v>
      </c>
      <c r="E440" s="1" t="n">
        <v>46224</v>
      </c>
      <c r="F440" t="inlineStr">
        <is>
          <t>BLEKINGE LÄN</t>
        </is>
      </c>
      <c r="G440" t="inlineStr">
        <is>
          <t>KARLSKRONA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7557-2026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46059</v>
      </c>
      <c r="E441" s="1" t="n">
        <v>46224</v>
      </c>
      <c r="F441" t="inlineStr">
        <is>
          <t>BLEKINGE LÄN</t>
        </is>
      </c>
      <c r="G441" t="inlineStr">
        <is>
          <t>KARLSKRONA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46224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9029-2026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46224</v>
      </c>
      <c r="F443" t="inlineStr">
        <is>
          <t>BLEKINGE LÄN</t>
        </is>
      </c>
      <c r="G443" t="inlineStr">
        <is>
          <t>KARLSKRONA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46224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45159</v>
      </c>
      <c r="E445" s="1" t="n">
        <v>46224</v>
      </c>
      <c r="F445" t="inlineStr">
        <is>
          <t>BLEKINGE LÄN</t>
        </is>
      </c>
      <c r="G445" t="inlineStr">
        <is>
          <t>KARLSKRONA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46224</v>
      </c>
      <c r="F446" t="inlineStr">
        <is>
          <t>BLEKINGE LÄN</t>
        </is>
      </c>
      <c r="G446" t="inlineStr">
        <is>
          <t>KARLSKRONA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45350</v>
      </c>
      <c r="E447" s="1" t="n">
        <v>46224</v>
      </c>
      <c r="F447" t="inlineStr">
        <is>
          <t>BLEKINGE LÄN</t>
        </is>
      </c>
      <c r="G447" t="inlineStr">
        <is>
          <t>KARLSKRONA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45035</v>
      </c>
      <c r="E448" s="1" t="n">
        <v>46224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17275-2023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45035</v>
      </c>
      <c r="E449" s="1" t="n">
        <v>46224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27481-2022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44742</v>
      </c>
      <c r="E450" s="1" t="n">
        <v>46224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45343</v>
      </c>
      <c r="E451" s="1" t="n">
        <v>46224</v>
      </c>
      <c r="F451" t="inlineStr">
        <is>
          <t>BLEKINGE LÄN</t>
        </is>
      </c>
      <c r="G451" t="inlineStr">
        <is>
          <t>KARLSKRONA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46224</v>
      </c>
      <c r="F452" t="inlineStr">
        <is>
          <t>BLEKINGE LÄN</t>
        </is>
      </c>
      <c r="G452" t="inlineStr">
        <is>
          <t>KARLSKRONA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44628</v>
      </c>
      <c r="E453" s="1" t="n">
        <v>46224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46224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46224</v>
      </c>
      <c r="F455" t="inlineStr">
        <is>
          <t>BLEKINGE LÄN</t>
        </is>
      </c>
      <c r="G455" t="inlineStr">
        <is>
          <t>KARLSKRONA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12181-2022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44636</v>
      </c>
      <c r="E456" s="1" t="n">
        <v>46224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46224</v>
      </c>
      <c r="F457" t="inlineStr">
        <is>
          <t>BLEKINGE LÄN</t>
        </is>
      </c>
      <c r="G457" t="inlineStr">
        <is>
          <t>KARLSKRONA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46224</v>
      </c>
      <c r="F458" t="inlineStr">
        <is>
          <t>BLEKINGE LÄN</t>
        </is>
      </c>
      <c r="G458" t="inlineStr">
        <is>
          <t>KARLSKRONA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46224</v>
      </c>
      <c r="F459" t="inlineStr">
        <is>
          <t>BLEKINGE LÄN</t>
        </is>
      </c>
      <c r="G459" t="inlineStr">
        <is>
          <t>KARLSKRONA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45645</v>
      </c>
      <c r="E460" s="1" t="n">
        <v>46224</v>
      </c>
      <c r="F460" t="inlineStr">
        <is>
          <t>BLEKINGE LÄN</t>
        </is>
      </c>
      <c r="G460" t="inlineStr">
        <is>
          <t>KARLSKRONA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46087</v>
      </c>
      <c r="E461" s="1" t="n">
        <v>46224</v>
      </c>
      <c r="F461" t="inlineStr">
        <is>
          <t>BLEKINGE LÄN</t>
        </is>
      </c>
      <c r="G461" t="inlineStr">
        <is>
          <t>KARLSKRONA</t>
        </is>
      </c>
      <c r="H461" t="inlineStr">
        <is>
          <t>Kommuner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46224</v>
      </c>
      <c r="F462" t="inlineStr">
        <is>
          <t>BLEKINGE LÄN</t>
        </is>
      </c>
      <c r="G462" t="inlineStr">
        <is>
          <t>KARLSKRONA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50546-2023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45217</v>
      </c>
      <c r="E463" s="1" t="n">
        <v>46224</v>
      </c>
      <c r="F463" t="inlineStr">
        <is>
          <t>BLEKINGE LÄN</t>
        </is>
      </c>
      <c r="G463" t="inlineStr">
        <is>
          <t>KARLSKRONA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46224</v>
      </c>
      <c r="F464" t="inlineStr">
        <is>
          <t>BLEKINGE LÄN</t>
        </is>
      </c>
      <c r="G464" t="inlineStr">
        <is>
          <t>KARLSKRONA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45212</v>
      </c>
      <c r="E465" s="1" t="n">
        <v>46224</v>
      </c>
      <c r="F465" t="inlineStr">
        <is>
          <t>BLEKINGE LÄN</t>
        </is>
      </c>
      <c r="G465" t="inlineStr">
        <is>
          <t>KARLSKRONA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57982-2024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45631</v>
      </c>
      <c r="E466" s="1" t="n">
        <v>46224</v>
      </c>
      <c r="F466" t="inlineStr">
        <is>
          <t>BLEKINGE LÄN</t>
        </is>
      </c>
      <c r="G466" t="inlineStr">
        <is>
          <t>KARLSKRONA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46224</v>
      </c>
      <c r="F467" t="inlineStr">
        <is>
          <t>BLEKINGE LÄN</t>
        </is>
      </c>
      <c r="G467" t="inlineStr">
        <is>
          <t>KARLSKRONA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46092</v>
      </c>
      <c r="E468" s="1" t="n">
        <v>46224</v>
      </c>
      <c r="F468" t="inlineStr">
        <is>
          <t>BLEKINGE LÄN</t>
        </is>
      </c>
      <c r="G468" t="inlineStr">
        <is>
          <t>KARLSKRONA</t>
        </is>
      </c>
      <c r="H468" t="inlineStr">
        <is>
          <t>Kommuner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40936-2023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45173</v>
      </c>
      <c r="E469" s="1" t="n">
        <v>46224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46224</v>
      </c>
      <c r="F470" t="inlineStr">
        <is>
          <t>BLEKINGE LÄN</t>
        </is>
      </c>
      <c r="G470" t="inlineStr">
        <is>
          <t>KARLSKRONA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6509-2024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45340</v>
      </c>
      <c r="E471" s="1" t="n">
        <v>46224</v>
      </c>
      <c r="F471" t="inlineStr">
        <is>
          <t>BLEKINGE LÄN</t>
        </is>
      </c>
      <c r="G471" t="inlineStr">
        <is>
          <t>KARLSKRONA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44911</v>
      </c>
      <c r="E472" s="1" t="n">
        <v>46224</v>
      </c>
      <c r="F472" t="inlineStr">
        <is>
          <t>BLEKINGE LÄN</t>
        </is>
      </c>
      <c r="G472" t="inlineStr">
        <is>
          <t>KARLSKRONA</t>
        </is>
      </c>
      <c r="I472" t="n">
        <v>14.2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45013</v>
      </c>
      <c r="E473" s="1" t="n">
        <v>46224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46224</v>
      </c>
      <c r="F474" t="inlineStr">
        <is>
          <t>BLEKINGE LÄN</t>
        </is>
      </c>
      <c r="G474" t="inlineStr">
        <is>
          <t>KARLSKRONA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45538</v>
      </c>
      <c r="E475" s="1" t="n">
        <v>46224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45727</v>
      </c>
      <c r="E476" s="1" t="n">
        <v>46224</v>
      </c>
      <c r="F476" t="inlineStr">
        <is>
          <t>BLEKINGE LÄN</t>
        </is>
      </c>
      <c r="G476" t="inlineStr">
        <is>
          <t>KARLSKRONA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16380-2024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45407</v>
      </c>
      <c r="E477" s="1" t="n">
        <v>46224</v>
      </c>
      <c r="F477" t="inlineStr">
        <is>
          <t>BLEKINGE LÄN</t>
        </is>
      </c>
      <c r="G477" t="inlineStr">
        <is>
          <t>KARLSKRONA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46224</v>
      </c>
      <c r="F478" t="inlineStr">
        <is>
          <t>BLEKINGE LÄN</t>
        </is>
      </c>
      <c r="G478" t="inlineStr">
        <is>
          <t>KARLSKRONA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46097</v>
      </c>
      <c r="E479" s="1" t="n">
        <v>46224</v>
      </c>
      <c r="F479" t="inlineStr">
        <is>
          <t>BLEKINGE LÄN</t>
        </is>
      </c>
      <c r="G479" t="inlineStr">
        <is>
          <t>KARLSKRONA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45495</v>
      </c>
      <c r="E480" s="1" t="n">
        <v>46224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33555-2023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45118</v>
      </c>
      <c r="E481" s="1" t="n">
        <v>46224</v>
      </c>
      <c r="F481" t="inlineStr">
        <is>
          <t>BLEKINGE LÄN</t>
        </is>
      </c>
      <c r="G481" t="inlineStr">
        <is>
          <t>KARLSKRONA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46224</v>
      </c>
      <c r="F482" t="inlineStr">
        <is>
          <t>BLEKINGE LÄN</t>
        </is>
      </c>
      <c r="G482" t="inlineStr">
        <is>
          <t>KARLSKRONA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46224</v>
      </c>
      <c r="F483" t="inlineStr">
        <is>
          <t>BLEKINGE LÄN</t>
        </is>
      </c>
      <c r="G483" t="inlineStr">
        <is>
          <t>KARLSKRONA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44936</v>
      </c>
      <c r="E484" s="1" t="n">
        <v>46224</v>
      </c>
      <c r="F484" t="inlineStr">
        <is>
          <t>BLEKINGE LÄN</t>
        </is>
      </c>
      <c r="G484" t="inlineStr">
        <is>
          <t>KARLSKRONA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29481-2022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44753</v>
      </c>
      <c r="E485" s="1" t="n">
        <v>46224</v>
      </c>
      <c r="F485" t="inlineStr">
        <is>
          <t>BLEKINGE LÄN</t>
        </is>
      </c>
      <c r="G485" t="inlineStr">
        <is>
          <t>KARLSKRONA</t>
        </is>
      </c>
      <c r="I485" t="n">
        <v>9.5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46224</v>
      </c>
      <c r="F486" t="inlineStr">
        <is>
          <t>BLEKINGE LÄN</t>
        </is>
      </c>
      <c r="G486" t="inlineStr">
        <is>
          <t>KARLSKRONA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49693-2022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44862</v>
      </c>
      <c r="E487" s="1" t="n">
        <v>46224</v>
      </c>
      <c r="F487" t="inlineStr">
        <is>
          <t>BLEKINGE LÄN</t>
        </is>
      </c>
      <c r="G487" t="inlineStr">
        <is>
          <t>KARLSKRONA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29394-2023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45106</v>
      </c>
      <c r="E488" s="1" t="n">
        <v>46224</v>
      </c>
      <c r="F488" t="inlineStr">
        <is>
          <t>BLEKINGE LÄN</t>
        </is>
      </c>
      <c r="G488" t="inlineStr">
        <is>
          <t>KARLSKRONA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45630</v>
      </c>
      <c r="E489" s="1" t="n">
        <v>46224</v>
      </c>
      <c r="F489" t="inlineStr">
        <is>
          <t>BLEKINGE LÄN</t>
        </is>
      </c>
      <c r="G489" t="inlineStr">
        <is>
          <t>KARLSKRONA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15468-2026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46224</v>
      </c>
      <c r="F490" t="inlineStr">
        <is>
          <t>BLEKINGE LÄN</t>
        </is>
      </c>
      <c r="G490" t="inlineStr">
        <is>
          <t>KARLSKRONA</t>
        </is>
      </c>
      <c r="H490" t="inlineStr">
        <is>
          <t>Kommuner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45551</v>
      </c>
      <c r="E491" s="1" t="n">
        <v>46224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46224</v>
      </c>
      <c r="F492" t="inlineStr">
        <is>
          <t>BLEKINGE LÄN</t>
        </is>
      </c>
      <c r="G492" t="inlineStr">
        <is>
          <t>KARLSKRONA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46224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8197-2024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45351</v>
      </c>
      <c r="E494" s="1" t="n">
        <v>46224</v>
      </c>
      <c r="F494" t="inlineStr">
        <is>
          <t>BLEKINGE LÄN</t>
        </is>
      </c>
      <c r="G494" t="inlineStr">
        <is>
          <t>KARLSKRONA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46224</v>
      </c>
      <c r="F495" t="inlineStr">
        <is>
          <t>BLEKINGE LÄN</t>
        </is>
      </c>
      <c r="G495" t="inlineStr">
        <is>
          <t>KARLSKRONA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54956-2024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45619</v>
      </c>
      <c r="E496" s="1" t="n">
        <v>46224</v>
      </c>
      <c r="F496" t="inlineStr">
        <is>
          <t>BLEKINGE LÄN</t>
        </is>
      </c>
      <c r="G496" t="inlineStr">
        <is>
          <t>KARLSKRONA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46224</v>
      </c>
      <c r="F497" t="inlineStr">
        <is>
          <t>BLEKINGE LÄN</t>
        </is>
      </c>
      <c r="G497" t="inlineStr">
        <is>
          <t>KARLSKRONA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46224</v>
      </c>
      <c r="F498" t="inlineStr">
        <is>
          <t>BLEKINGE LÄN</t>
        </is>
      </c>
      <c r="G498" t="inlineStr">
        <is>
          <t>KARLSKRONA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45154</v>
      </c>
      <c r="E499" s="1" t="n">
        <v>46224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46224</v>
      </c>
      <c r="F500" t="inlineStr">
        <is>
          <t>BLEKINGE LÄN</t>
        </is>
      </c>
      <c r="G500" t="inlineStr">
        <is>
          <t>KARLSKRONA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68972-2021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46224</v>
      </c>
      <c r="F501" t="inlineStr">
        <is>
          <t>BLEKINGE LÄN</t>
        </is>
      </c>
      <c r="G501" t="inlineStr">
        <is>
          <t>KARLSKRONA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54942-2021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44473</v>
      </c>
      <c r="E502" s="1" t="n">
        <v>46224</v>
      </c>
      <c r="F502" t="inlineStr">
        <is>
          <t>BLEKINGE LÄN</t>
        </is>
      </c>
      <c r="G502" t="inlineStr">
        <is>
          <t>KARLSKRONA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46224</v>
      </c>
      <c r="F503" t="inlineStr">
        <is>
          <t>BLEKINGE LÄN</t>
        </is>
      </c>
      <c r="G503" t="inlineStr">
        <is>
          <t>KARLSKRONA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46224</v>
      </c>
      <c r="F504" t="inlineStr">
        <is>
          <t>BLEKINGE LÄN</t>
        </is>
      </c>
      <c r="G504" t="inlineStr">
        <is>
          <t>KARLSKRONA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46224</v>
      </c>
      <c r="F505" t="inlineStr">
        <is>
          <t>BLEKINGE LÄN</t>
        </is>
      </c>
      <c r="G505" t="inlineStr">
        <is>
          <t>KARLSKRONA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46224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46224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46224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46224</v>
      </c>
      <c r="F509" t="inlineStr">
        <is>
          <t>BLEKINGE LÄN</t>
        </is>
      </c>
      <c r="G509" t="inlineStr">
        <is>
          <t>KARLSKRONA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16753-2026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46113</v>
      </c>
      <c r="E510" s="1" t="n">
        <v>46224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46224</v>
      </c>
      <c r="F511" t="inlineStr">
        <is>
          <t>BLEKINGE LÄN</t>
        </is>
      </c>
      <c r="G511" t="inlineStr">
        <is>
          <t>KARLSKRONA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45012</v>
      </c>
      <c r="E512" s="1" t="n">
        <v>46224</v>
      </c>
      <c r="F512" t="inlineStr">
        <is>
          <t>BLEKINGE LÄN</t>
        </is>
      </c>
      <c r="G512" t="inlineStr">
        <is>
          <t>KARLSKRONA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44809</v>
      </c>
      <c r="E513" s="1" t="n">
        <v>46224</v>
      </c>
      <c r="F513" t="inlineStr">
        <is>
          <t>BLEKINGE LÄN</t>
        </is>
      </c>
      <c r="G513" t="inlineStr">
        <is>
          <t>KARLSKRONA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29914-2022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44756</v>
      </c>
      <c r="E514" s="1" t="n">
        <v>46224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45077</v>
      </c>
      <c r="E515" s="1" t="n">
        <v>46224</v>
      </c>
      <c r="F515" t="inlineStr">
        <is>
          <t>BLEKINGE LÄN</t>
        </is>
      </c>
      <c r="G515" t="inlineStr">
        <is>
          <t>KARLSKRONA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44942</v>
      </c>
      <c r="E516" s="1" t="n">
        <v>46224</v>
      </c>
      <c r="F516" t="inlineStr">
        <is>
          <t>BLEKINGE LÄN</t>
        </is>
      </c>
      <c r="G516" t="inlineStr">
        <is>
          <t>KARLSKRONA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51455-2024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45604</v>
      </c>
      <c r="E517" s="1" t="n">
        <v>46224</v>
      </c>
      <c r="F517" t="inlineStr">
        <is>
          <t>BLEKINGE LÄN</t>
        </is>
      </c>
      <c r="G517" t="inlineStr">
        <is>
          <t>KARLSKRONA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29913-2023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46224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24969-2022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44728</v>
      </c>
      <c r="E519" s="1" t="n">
        <v>46224</v>
      </c>
      <c r="F519" t="inlineStr">
        <is>
          <t>BLEKINGE LÄN</t>
        </is>
      </c>
      <c r="G519" t="inlineStr">
        <is>
          <t>KARLSKRONA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18109-2026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46125</v>
      </c>
      <c r="E520" s="1" t="n">
        <v>46224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45695</v>
      </c>
      <c r="E521" s="1" t="n">
        <v>46224</v>
      </c>
      <c r="F521" t="inlineStr">
        <is>
          <t>BLEKINGE LÄN</t>
        </is>
      </c>
      <c r="G521" t="inlineStr">
        <is>
          <t>KARLSKRONA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45469</v>
      </c>
      <c r="E522" s="1" t="n">
        <v>46224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44981</v>
      </c>
      <c r="E523" s="1" t="n">
        <v>46224</v>
      </c>
      <c r="F523" t="inlineStr">
        <is>
          <t>BLEKINGE LÄN</t>
        </is>
      </c>
      <c r="G523" t="inlineStr">
        <is>
          <t>KARLSKRONA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45610</v>
      </c>
      <c r="E524" s="1" t="n">
        <v>46224</v>
      </c>
      <c r="F524" t="inlineStr">
        <is>
          <t>BLEKINGE LÄN</t>
        </is>
      </c>
      <c r="G524" t="inlineStr">
        <is>
          <t>KARLSKRONA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44596</v>
      </c>
      <c r="E525" s="1" t="n">
        <v>46224</v>
      </c>
      <c r="F525" t="inlineStr">
        <is>
          <t>BLEKINGE LÄN</t>
        </is>
      </c>
      <c r="G525" t="inlineStr">
        <is>
          <t>KARLSKRONA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52810-2024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45610</v>
      </c>
      <c r="E526" s="1" t="n">
        <v>46224</v>
      </c>
      <c r="F526" t="inlineStr">
        <is>
          <t>BLEKINGE LÄN</t>
        </is>
      </c>
      <c r="G526" t="inlineStr">
        <is>
          <t>KARLSKRONA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53061-2022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44876</v>
      </c>
      <c r="E527" s="1" t="n">
        <v>46224</v>
      </c>
      <c r="F527" t="inlineStr">
        <is>
          <t>BLEKINGE LÄN</t>
        </is>
      </c>
      <c r="G527" t="inlineStr">
        <is>
          <t>KARLSKRONA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45551</v>
      </c>
      <c r="E528" s="1" t="n">
        <v>46224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45127</v>
      </c>
      <c r="E529" s="1" t="n">
        <v>46224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32362-2024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45512</v>
      </c>
      <c r="E530" s="1" t="n">
        <v>46224</v>
      </c>
      <c r="F530" t="inlineStr">
        <is>
          <t>BLEKINGE LÄN</t>
        </is>
      </c>
      <c r="G530" t="inlineStr">
        <is>
          <t>KARLSKRONA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39381-2023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46224</v>
      </c>
      <c r="F531" t="inlineStr">
        <is>
          <t>BLEKINGE LÄN</t>
        </is>
      </c>
      <c r="G531" t="inlineStr">
        <is>
          <t>KARLSKRONA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71708-2021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44543</v>
      </c>
      <c r="E532" s="1" t="n">
        <v>46224</v>
      </c>
      <c r="F532" t="inlineStr">
        <is>
          <t>BLEKINGE LÄN</t>
        </is>
      </c>
      <c r="G532" t="inlineStr">
        <is>
          <t>KARLSKRONA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46224</v>
      </c>
      <c r="F533" t="inlineStr">
        <is>
          <t>BLEKINGE LÄN</t>
        </is>
      </c>
      <c r="G533" t="inlineStr">
        <is>
          <t>KARLSKRONA</t>
        </is>
      </c>
      <c r="H533" t="inlineStr">
        <is>
          <t>Kommuner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45915</v>
      </c>
      <c r="E534" s="1" t="n">
        <v>46224</v>
      </c>
      <c r="F534" t="inlineStr">
        <is>
          <t>BLEKINGE LÄN</t>
        </is>
      </c>
      <c r="G534" t="inlineStr">
        <is>
          <t>KARLSKRONA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43595-2025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45911</v>
      </c>
      <c r="E535" s="1" t="n">
        <v>46224</v>
      </c>
      <c r="F535" t="inlineStr">
        <is>
          <t>BLEKINGE LÄN</t>
        </is>
      </c>
      <c r="G535" t="inlineStr">
        <is>
          <t>KARLSKRONA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45261</v>
      </c>
      <c r="E536" s="1" t="n">
        <v>46224</v>
      </c>
      <c r="F536" t="inlineStr">
        <is>
          <t>BLEKINGE LÄN</t>
        </is>
      </c>
      <c r="G536" t="inlineStr">
        <is>
          <t>KARLSKRONA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46224</v>
      </c>
      <c r="F537" t="inlineStr">
        <is>
          <t>BLEKINGE LÄN</t>
        </is>
      </c>
      <c r="G537" t="inlineStr">
        <is>
          <t>KARLSKRONA</t>
        </is>
      </c>
      <c r="I537" t="n">
        <v>11.5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45366</v>
      </c>
      <c r="E538" s="1" t="n">
        <v>46224</v>
      </c>
      <c r="F538" t="inlineStr">
        <is>
          <t>BLEKINGE LÄN</t>
        </is>
      </c>
      <c r="G538" t="inlineStr">
        <is>
          <t>KARLSKRONA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46224</v>
      </c>
      <c r="F539" t="inlineStr">
        <is>
          <t>BLEKINGE LÄN</t>
        </is>
      </c>
      <c r="G539" t="inlineStr">
        <is>
          <t>KARLSKRONA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47336-2023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45202</v>
      </c>
      <c r="E540" s="1" t="n">
        <v>46224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46224</v>
      </c>
      <c r="F541" t="inlineStr">
        <is>
          <t>BLEKINGE LÄN</t>
        </is>
      </c>
      <c r="G541" t="inlineStr">
        <is>
          <t>KARLSKRONA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44930</v>
      </c>
      <c r="E542" s="1" t="n">
        <v>46224</v>
      </c>
      <c r="F542" t="inlineStr">
        <is>
          <t>BLEKINGE LÄN</t>
        </is>
      </c>
      <c r="G542" t="inlineStr">
        <is>
          <t>KARLSKRONA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46224</v>
      </c>
      <c r="F543" t="inlineStr">
        <is>
          <t>BLEKINGE LÄN</t>
        </is>
      </c>
      <c r="G543" t="inlineStr">
        <is>
          <t>KARLSKRONA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46712-2021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44445</v>
      </c>
      <c r="E544" s="1" t="n">
        <v>46224</v>
      </c>
      <c r="F544" t="inlineStr">
        <is>
          <t>BLEKINGE LÄN</t>
        </is>
      </c>
      <c r="G544" t="inlineStr">
        <is>
          <t>KARLSKRONA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45685</v>
      </c>
      <c r="E545" s="1" t="n">
        <v>46224</v>
      </c>
      <c r="F545" t="inlineStr">
        <is>
          <t>BLEKINGE LÄN</t>
        </is>
      </c>
      <c r="G545" t="inlineStr">
        <is>
          <t>KARLSKRONA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45082</v>
      </c>
      <c r="E546" s="1" t="n">
        <v>46224</v>
      </c>
      <c r="F546" t="inlineStr">
        <is>
          <t>BLEKINGE LÄN</t>
        </is>
      </c>
      <c r="G546" t="inlineStr">
        <is>
          <t>KARLSKRONA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45014</v>
      </c>
      <c r="E547" s="1" t="n">
        <v>46224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45085</v>
      </c>
      <c r="E548" s="1" t="n">
        <v>46224</v>
      </c>
      <c r="F548" t="inlineStr">
        <is>
          <t>BLEKINGE LÄN</t>
        </is>
      </c>
      <c r="G548" t="inlineStr">
        <is>
          <t>KARLSKRONA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45576</v>
      </c>
      <c r="E549" s="1" t="n">
        <v>46224</v>
      </c>
      <c r="F549" t="inlineStr">
        <is>
          <t>BLEKINGE LÄN</t>
        </is>
      </c>
      <c r="G549" t="inlineStr">
        <is>
          <t>KARLSKRONA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46224</v>
      </c>
      <c r="F550" t="inlineStr">
        <is>
          <t>BLEKINGE LÄN</t>
        </is>
      </c>
      <c r="G550" t="inlineStr">
        <is>
          <t>KARLSKRONA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40041-2025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45894</v>
      </c>
      <c r="E551" s="1" t="n">
        <v>46224</v>
      </c>
      <c r="F551" t="inlineStr">
        <is>
          <t>BLEKINGE LÄN</t>
        </is>
      </c>
      <c r="G551" t="inlineStr">
        <is>
          <t>KARLSKRONA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46224</v>
      </c>
      <c r="F552" t="inlineStr">
        <is>
          <t>BLEKINGE LÄN</t>
        </is>
      </c>
      <c r="G552" t="inlineStr">
        <is>
          <t>KARLSKRONA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45711-2025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45923</v>
      </c>
      <c r="E553" s="1" t="n">
        <v>46224</v>
      </c>
      <c r="F553" t="inlineStr">
        <is>
          <t>BLEKINGE LÄN</t>
        </is>
      </c>
      <c r="G553" t="inlineStr">
        <is>
          <t>KARLSKRONA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45107</v>
      </c>
      <c r="E554" s="1" t="n">
        <v>46224</v>
      </c>
      <c r="F554" t="inlineStr">
        <is>
          <t>BLEKINGE LÄN</t>
        </is>
      </c>
      <c r="G554" t="inlineStr">
        <is>
          <t>KARLSKRONA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8946-2022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44614</v>
      </c>
      <c r="E555" s="1" t="n">
        <v>46224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45007</v>
      </c>
      <c r="E556" s="1" t="n">
        <v>46224</v>
      </c>
      <c r="F556" t="inlineStr">
        <is>
          <t>BLEKINGE LÄN</t>
        </is>
      </c>
      <c r="G556" t="inlineStr">
        <is>
          <t>KARLSKRONA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13786-2023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45007</v>
      </c>
      <c r="E557" s="1" t="n">
        <v>46224</v>
      </c>
      <c r="F557" t="inlineStr">
        <is>
          <t>BLEKINGE LÄN</t>
        </is>
      </c>
      <c r="G557" t="inlineStr">
        <is>
          <t>KARLSKRONA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55113-2025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45968</v>
      </c>
      <c r="E558" s="1" t="n">
        <v>46224</v>
      </c>
      <c r="F558" t="inlineStr">
        <is>
          <t>BLEKINGE LÄN</t>
        </is>
      </c>
      <c r="G558" t="inlineStr">
        <is>
          <t>KARLSKRONA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46224</v>
      </c>
      <c r="F559" t="inlineStr">
        <is>
          <t>BLEKINGE LÄN</t>
        </is>
      </c>
      <c r="G559" t="inlineStr">
        <is>
          <t>KARLSKRONA</t>
        </is>
      </c>
      <c r="I559" t="n">
        <v>7.7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45917</v>
      </c>
      <c r="E560" s="1" t="n">
        <v>46224</v>
      </c>
      <c r="F560" t="inlineStr">
        <is>
          <t>BLEKINGE LÄN</t>
        </is>
      </c>
      <c r="G560" t="inlineStr">
        <is>
          <t>KARLSKRONA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45551</v>
      </c>
      <c r="E561" s="1" t="n">
        <v>46224</v>
      </c>
      <c r="F561" t="inlineStr">
        <is>
          <t>BLEKINGE LÄN</t>
        </is>
      </c>
      <c r="G561" t="inlineStr">
        <is>
          <t>KARLSKRONA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19142-2022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44691</v>
      </c>
      <c r="E562" s="1" t="n">
        <v>46224</v>
      </c>
      <c r="F562" t="inlineStr">
        <is>
          <t>BLEKINGE LÄN</t>
        </is>
      </c>
      <c r="G562" t="inlineStr">
        <is>
          <t>KARLSKRONA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45664</v>
      </c>
      <c r="E563" s="1" t="n">
        <v>46224</v>
      </c>
      <c r="F563" t="inlineStr">
        <is>
          <t>BLEKINGE LÄN</t>
        </is>
      </c>
      <c r="G563" t="inlineStr">
        <is>
          <t>KARLSKRONA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45085</v>
      </c>
      <c r="E564" s="1" t="n">
        <v>46224</v>
      </c>
      <c r="F564" t="inlineStr">
        <is>
          <t>BLEKINGE LÄN</t>
        </is>
      </c>
      <c r="G564" t="inlineStr">
        <is>
          <t>KARLSKRONA</t>
        </is>
      </c>
      <c r="I564" t="n">
        <v>10.9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35858-2022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44799</v>
      </c>
      <c r="E565" s="1" t="n">
        <v>46224</v>
      </c>
      <c r="F565" t="inlineStr">
        <is>
          <t>BLEKINGE LÄN</t>
        </is>
      </c>
      <c r="G565" t="inlineStr">
        <is>
          <t>KARLSKRONA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44641</v>
      </c>
      <c r="E566" s="1" t="n">
        <v>46224</v>
      </c>
      <c r="F566" t="inlineStr">
        <is>
          <t>BLEKINGE LÄN</t>
        </is>
      </c>
      <c r="G566" t="inlineStr">
        <is>
          <t>KARLSKRONA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57818-2025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46224</v>
      </c>
      <c r="F567" t="inlineStr">
        <is>
          <t>BLEKINGE LÄN</t>
        </is>
      </c>
      <c r="G567" t="inlineStr">
        <is>
          <t>KARLSKRONA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45077</v>
      </c>
      <c r="E568" s="1" t="n">
        <v>46224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38482-2025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45884</v>
      </c>
      <c r="E569" s="1" t="n">
        <v>46224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57525-2025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45980</v>
      </c>
      <c r="E570" s="1" t="n">
        <v>46224</v>
      </c>
      <c r="F570" t="inlineStr">
        <is>
          <t>BLEKINGE LÄN</t>
        </is>
      </c>
      <c r="G570" t="inlineStr">
        <is>
          <t>KARLSKRONA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45537</v>
      </c>
      <c r="E571" s="1" t="n">
        <v>46224</v>
      </c>
      <c r="F571" t="inlineStr">
        <is>
          <t>BLEKINGE LÄN</t>
        </is>
      </c>
      <c r="G571" t="inlineStr">
        <is>
          <t>KARLSKRONA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45538</v>
      </c>
      <c r="E572" s="1" t="n">
        <v>46224</v>
      </c>
      <c r="F572" t="inlineStr">
        <is>
          <t>BLEKINGE LÄN</t>
        </is>
      </c>
      <c r="G572" t="inlineStr">
        <is>
          <t>KARLSKRONA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30275-2025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46224</v>
      </c>
      <c r="F573" t="inlineStr">
        <is>
          <t>BLEKINGE LÄN</t>
        </is>
      </c>
      <c r="G573" t="inlineStr">
        <is>
          <t>KARLSKRONA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45170</v>
      </c>
      <c r="E574" s="1" t="n">
        <v>46224</v>
      </c>
      <c r="F574" t="inlineStr">
        <is>
          <t>BLEKINGE LÄN</t>
        </is>
      </c>
      <c r="G574" t="inlineStr">
        <is>
          <t>KARLSKRONA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46224</v>
      </c>
      <c r="F575" t="inlineStr">
        <is>
          <t>BLEKINGE LÄN</t>
        </is>
      </c>
      <c r="G575" t="inlineStr">
        <is>
          <t>KARLSKRONA</t>
        </is>
      </c>
      <c r="I575" t="n">
        <v>11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58627-2023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45251</v>
      </c>
      <c r="E576" s="1" t="n">
        <v>46224</v>
      </c>
      <c r="F576" t="inlineStr">
        <is>
          <t>BLEKINGE LÄN</t>
        </is>
      </c>
      <c r="G576" t="inlineStr">
        <is>
          <t>KARLSKRONA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45784</v>
      </c>
      <c r="E577" s="1" t="n">
        <v>46224</v>
      </c>
      <c r="F577" t="inlineStr">
        <is>
          <t>BLEKINGE LÄN</t>
        </is>
      </c>
      <c r="G577" t="inlineStr">
        <is>
          <t>KARLSKRONA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11630-2022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44631</v>
      </c>
      <c r="E578" s="1" t="n">
        <v>46224</v>
      </c>
      <c r="F578" t="inlineStr">
        <is>
          <t>BLEKINGE LÄN</t>
        </is>
      </c>
      <c r="G578" t="inlineStr">
        <is>
          <t>KARLSKRONA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21953-2025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46224</v>
      </c>
      <c r="F579" t="inlineStr">
        <is>
          <t>BLEKINGE LÄN</t>
        </is>
      </c>
      <c r="G579" t="inlineStr">
        <is>
          <t>KARLSKRONA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45463</v>
      </c>
      <c r="E580" s="1" t="n">
        <v>46224</v>
      </c>
      <c r="F580" t="inlineStr">
        <is>
          <t>BLEKINGE LÄN</t>
        </is>
      </c>
      <c r="G580" t="inlineStr">
        <is>
          <t>KARLSKRONA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46224</v>
      </c>
      <c r="F581" t="inlineStr">
        <is>
          <t>BLEKINGE LÄN</t>
        </is>
      </c>
      <c r="G581" t="inlineStr">
        <is>
          <t>KARLSKRONA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45057</v>
      </c>
      <c r="E582" s="1" t="n">
        <v>46224</v>
      </c>
      <c r="F582" t="inlineStr">
        <is>
          <t>BLEKINGE LÄN</t>
        </is>
      </c>
      <c r="G582" t="inlineStr">
        <is>
          <t>KARLSKRONA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22798-2025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45789</v>
      </c>
      <c r="E583" s="1" t="n">
        <v>46224</v>
      </c>
      <c r="F583" t="inlineStr">
        <is>
          <t>BLEKINGE LÄN</t>
        </is>
      </c>
      <c r="G583" t="inlineStr">
        <is>
          <t>KARLSKRONA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29583-2022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44754</v>
      </c>
      <c r="E584" s="1" t="n">
        <v>46224</v>
      </c>
      <c r="F584" t="inlineStr">
        <is>
          <t>BLEKINGE LÄN</t>
        </is>
      </c>
      <c r="G584" t="inlineStr">
        <is>
          <t>KARLSKRONA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46224</v>
      </c>
      <c r="F585" t="inlineStr">
        <is>
          <t>BLEKINGE LÄN</t>
        </is>
      </c>
      <c r="G585" t="inlineStr">
        <is>
          <t>KARLSKRONA</t>
        </is>
      </c>
      <c r="I585" t="n">
        <v>23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46183</v>
      </c>
      <c r="E586" s="1" t="n">
        <v>46224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45009</v>
      </c>
      <c r="E587" s="1" t="n">
        <v>46224</v>
      </c>
      <c r="F587" t="inlineStr">
        <is>
          <t>BLEKINGE LÄN</t>
        </is>
      </c>
      <c r="G587" t="inlineStr">
        <is>
          <t>KARLSKRONA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23819-2024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45455</v>
      </c>
      <c r="E588" s="1" t="n">
        <v>46224</v>
      </c>
      <c r="F588" t="inlineStr">
        <is>
          <t>BLEKINGE LÄN</t>
        </is>
      </c>
      <c r="G588" t="inlineStr">
        <is>
          <t>KARLSKRONA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46224</v>
      </c>
      <c r="F589" t="inlineStr">
        <is>
          <t>BLEKINGE LÄN</t>
        </is>
      </c>
      <c r="G589" t="inlineStr">
        <is>
          <t>KARLSKRONA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46224</v>
      </c>
      <c r="F590" t="inlineStr">
        <is>
          <t>BLEKINGE LÄN</t>
        </is>
      </c>
      <c r="G590" t="inlineStr">
        <is>
          <t>KARLSKRONA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64490-2021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44511</v>
      </c>
      <c r="E591" s="1" t="n">
        <v>46224</v>
      </c>
      <c r="F591" t="inlineStr">
        <is>
          <t>BLEKINGE LÄN</t>
        </is>
      </c>
      <c r="G591" t="inlineStr">
        <is>
          <t>KARLSKRONA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44580</v>
      </c>
      <c r="E592" s="1" t="n">
        <v>46224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46224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18719-2023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45043</v>
      </c>
      <c r="E594" s="1" t="n">
        <v>46224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46224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54692-2022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44881</v>
      </c>
      <c r="E596" s="1" t="n">
        <v>46224</v>
      </c>
      <c r="F596" t="inlineStr">
        <is>
          <t>BLEKINGE LÄN</t>
        </is>
      </c>
      <c r="G596" t="inlineStr">
        <is>
          <t>KARLSKRONA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62111-2022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44920</v>
      </c>
      <c r="E597" s="1" t="n">
        <v>46224</v>
      </c>
      <c r="F597" t="inlineStr">
        <is>
          <t>BLEKINGE LÄN</t>
        </is>
      </c>
      <c r="G597" t="inlineStr">
        <is>
          <t>KARLSKRONA</t>
        </is>
      </c>
      <c r="I597" t="n">
        <v>25.5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20656-2023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45055</v>
      </c>
      <c r="E598" s="1" t="n">
        <v>46224</v>
      </c>
      <c r="F598" t="inlineStr">
        <is>
          <t>BLEKINGE LÄN</t>
        </is>
      </c>
      <c r="G598" t="inlineStr">
        <is>
          <t>KARLSKRONA</t>
        </is>
      </c>
      <c r="I598" t="n">
        <v>10.6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46224</v>
      </c>
      <c r="F599" t="inlineStr">
        <is>
          <t>BLEKINGE LÄN</t>
        </is>
      </c>
      <c r="G599" t="inlineStr">
        <is>
          <t>KARLSKRONA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72478-2021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44545</v>
      </c>
      <c r="E600" s="1" t="n">
        <v>46224</v>
      </c>
      <c r="F600" t="inlineStr">
        <is>
          <t>BLEKINGE LÄN</t>
        </is>
      </c>
      <c r="G600" t="inlineStr">
        <is>
          <t>KARLSKRONA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44988</v>
      </c>
      <c r="E601" s="1" t="n">
        <v>46224</v>
      </c>
      <c r="F601" t="inlineStr">
        <is>
          <t>BLEKINGE LÄN</t>
        </is>
      </c>
      <c r="G601" t="inlineStr">
        <is>
          <t>KARLSKRONA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44960</v>
      </c>
      <c r="E602" s="1" t="n">
        <v>46224</v>
      </c>
      <c r="F602" t="inlineStr">
        <is>
          <t>BLEKINGE LÄN</t>
        </is>
      </c>
      <c r="G602" t="inlineStr">
        <is>
          <t>KARLSKRONA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45990-2021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44441</v>
      </c>
      <c r="E603" s="1" t="n">
        <v>46224</v>
      </c>
      <c r="F603" t="inlineStr">
        <is>
          <t>BLEKINGE LÄN</t>
        </is>
      </c>
      <c r="G603" t="inlineStr">
        <is>
          <t>KARLSKRONA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64056-2023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45279</v>
      </c>
      <c r="E604" s="1" t="n">
        <v>46224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13377-2024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45387</v>
      </c>
      <c r="E605" s="1" t="n">
        <v>46224</v>
      </c>
      <c r="F605" t="inlineStr">
        <is>
          <t>BLEKINGE LÄN</t>
        </is>
      </c>
      <c r="G605" t="inlineStr">
        <is>
          <t>KARLSKRONA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45080</v>
      </c>
      <c r="E606" s="1" t="n">
        <v>46224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55374-2023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45238</v>
      </c>
      <c r="E607" s="1" t="n">
        <v>46224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57841-2023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45247</v>
      </c>
      <c r="E608" s="1" t="n">
        <v>46224</v>
      </c>
      <c r="F608" t="inlineStr">
        <is>
          <t>BLEKINGE LÄN</t>
        </is>
      </c>
      <c r="G608" t="inlineStr">
        <is>
          <t>KARLSKRONA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27209-2026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46188</v>
      </c>
      <c r="E609" s="1" t="n">
        <v>46224</v>
      </c>
      <c r="F609" t="inlineStr">
        <is>
          <t>BLEKINGE LÄN</t>
        </is>
      </c>
      <c r="G609" t="inlineStr">
        <is>
          <t>KARLSKRONA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46224</v>
      </c>
      <c r="F610" t="inlineStr">
        <is>
          <t>BLEKINGE LÄN</t>
        </is>
      </c>
      <c r="G610" t="inlineStr">
        <is>
          <t>KARLSKRONA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46224</v>
      </c>
      <c r="F611" t="inlineStr">
        <is>
          <t>BLEKINGE LÄN</t>
        </is>
      </c>
      <c r="G611" t="inlineStr">
        <is>
          <t>KARLSKRONA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44471-2021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46224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45105</v>
      </c>
      <c r="E613" s="1" t="n">
        <v>46224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45106</v>
      </c>
      <c r="E614" s="1" t="n">
        <v>46224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45499</v>
      </c>
      <c r="E615" s="1" t="n">
        <v>46224</v>
      </c>
      <c r="F615" t="inlineStr">
        <is>
          <t>BLEKINGE LÄN</t>
        </is>
      </c>
      <c r="G615" t="inlineStr">
        <is>
          <t>KARLSKRONA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39121-2023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45165</v>
      </c>
      <c r="E616" s="1" t="n">
        <v>46224</v>
      </c>
      <c r="F616" t="inlineStr">
        <is>
          <t>BLEKINGE LÄN</t>
        </is>
      </c>
      <c r="G616" t="inlineStr">
        <is>
          <t>KARLSKRONA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34137-2024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45524</v>
      </c>
      <c r="E617" s="1" t="n">
        <v>46224</v>
      </c>
      <c r="F617" t="inlineStr">
        <is>
          <t>BLEKINGE LÄN</t>
        </is>
      </c>
      <c r="G617" t="inlineStr">
        <is>
          <t>KARLSKRONA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50902-2023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46224</v>
      </c>
      <c r="F618" t="inlineStr">
        <is>
          <t>BLEKINGE LÄN</t>
        </is>
      </c>
      <c r="G618" t="inlineStr">
        <is>
          <t>KARLSKRONA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46224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50614-2022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44866</v>
      </c>
      <c r="E620" s="1" t="n">
        <v>46224</v>
      </c>
      <c r="F620" t="inlineStr">
        <is>
          <t>BLEKINGE LÄN</t>
        </is>
      </c>
      <c r="G620" t="inlineStr">
        <is>
          <t>KARLSKRONA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21816-2026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46150</v>
      </c>
      <c r="E621" s="1" t="n">
        <v>46224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45264</v>
      </c>
      <c r="E622" s="1" t="n">
        <v>46224</v>
      </c>
      <c r="F622" t="inlineStr">
        <is>
          <t>BLEKINGE LÄN</t>
        </is>
      </c>
      <c r="G622" t="inlineStr">
        <is>
          <t>KARLSKRONA</t>
        </is>
      </c>
      <c r="I622" t="n">
        <v>13.2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44120-2023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45188</v>
      </c>
      <c r="E623" s="1" t="n">
        <v>46224</v>
      </c>
      <c r="F623" t="inlineStr">
        <is>
          <t>BLEKINGE LÄN</t>
        </is>
      </c>
      <c r="G623" t="inlineStr">
        <is>
          <t>KARLSKRONA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46224</v>
      </c>
      <c r="F624" t="inlineStr">
        <is>
          <t>BLEKINGE LÄN</t>
        </is>
      </c>
      <c r="G624" t="inlineStr">
        <is>
          <t>KARLSKRONA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45113</v>
      </c>
      <c r="E625" s="1" t="n">
        <v>46224</v>
      </c>
      <c r="F625" t="inlineStr">
        <is>
          <t>BLEKINGE LÄN</t>
        </is>
      </c>
      <c r="G625" t="inlineStr">
        <is>
          <t>KARLSKRONA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21803-2026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46224</v>
      </c>
      <c r="F626" t="inlineStr">
        <is>
          <t>BLEKINGE LÄN</t>
        </is>
      </c>
      <c r="G626" t="inlineStr">
        <is>
          <t>KARLSKRONA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46224</v>
      </c>
      <c r="F627" t="inlineStr">
        <is>
          <t>BLEKINGE LÄN</t>
        </is>
      </c>
      <c r="G627" t="inlineStr">
        <is>
          <t>KARLSKRONA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60901-2022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44914</v>
      </c>
      <c r="E628" s="1" t="n">
        <v>46224</v>
      </c>
      <c r="F628" t="inlineStr">
        <is>
          <t>BLEKINGE LÄN</t>
        </is>
      </c>
      <c r="G628" t="inlineStr">
        <is>
          <t>KARLSKRONA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3807-2024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45321</v>
      </c>
      <c r="E629" s="1" t="n">
        <v>46224</v>
      </c>
      <c r="F629" t="inlineStr">
        <is>
          <t>BLEKINGE LÄN</t>
        </is>
      </c>
      <c r="G629" t="inlineStr">
        <is>
          <t>KARLSKRONA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55617-2025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46224</v>
      </c>
      <c r="F630" t="inlineStr">
        <is>
          <t>BLEKINGE LÄN</t>
        </is>
      </c>
      <c r="G630" t="inlineStr">
        <is>
          <t>KARLSKRONA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45127</v>
      </c>
      <c r="E631" s="1" t="n">
        <v>46224</v>
      </c>
      <c r="F631" t="inlineStr">
        <is>
          <t>BLEKINGE LÄN</t>
        </is>
      </c>
      <c r="G631" t="inlineStr">
        <is>
          <t>KARLSKRONA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56600-2023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45238</v>
      </c>
      <c r="E632" s="1" t="n">
        <v>46224</v>
      </c>
      <c r="F632" t="inlineStr">
        <is>
          <t>BLEKINGE LÄN</t>
        </is>
      </c>
      <c r="G632" t="inlineStr">
        <is>
          <t>KARLSKRONA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5556-2024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45334</v>
      </c>
      <c r="E633" s="1" t="n">
        <v>46224</v>
      </c>
      <c r="F633" t="inlineStr">
        <is>
          <t>BLEKINGE LÄN</t>
        </is>
      </c>
      <c r="G633" t="inlineStr">
        <is>
          <t>KARLSKRONA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45662</v>
      </c>
      <c r="E634" s="1" t="n">
        <v>46224</v>
      </c>
      <c r="F634" t="inlineStr">
        <is>
          <t>BLEKINGE LÄN</t>
        </is>
      </c>
      <c r="G634" t="inlineStr">
        <is>
          <t>KARLSKRONA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45531</v>
      </c>
      <c r="E635" s="1" t="n">
        <v>46224</v>
      </c>
      <c r="F635" t="inlineStr">
        <is>
          <t>BLEKINGE LÄN</t>
        </is>
      </c>
      <c r="G635" t="inlineStr">
        <is>
          <t>KARLSKRONA</t>
        </is>
      </c>
      <c r="I635" t="n">
        <v>7.8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44991</v>
      </c>
      <c r="E636" s="1" t="n">
        <v>46224</v>
      </c>
      <c r="F636" t="inlineStr">
        <is>
          <t>BLEKINGE LÄN</t>
        </is>
      </c>
      <c r="G636" t="inlineStr">
        <is>
          <t>KARLSKRONA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10629-2022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44624</v>
      </c>
      <c r="E637" s="1" t="n">
        <v>46224</v>
      </c>
      <c r="F637" t="inlineStr">
        <is>
          <t>BLEKINGE LÄN</t>
        </is>
      </c>
      <c r="G637" t="inlineStr">
        <is>
          <t>KARLSKRONA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44939</v>
      </c>
      <c r="E638" s="1" t="n">
        <v>46224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44939</v>
      </c>
      <c r="E639" s="1" t="n">
        <v>46224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14355-2024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45393</v>
      </c>
      <c r="E640" s="1" t="n">
        <v>46224</v>
      </c>
      <c r="F640" t="inlineStr">
        <is>
          <t>BLEKINGE LÄN</t>
        </is>
      </c>
      <c r="G640" t="inlineStr">
        <is>
          <t>KARLSKRONA</t>
        </is>
      </c>
      <c r="I640" t="n">
        <v>12.6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63981-2023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46224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47992-2023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45204</v>
      </c>
      <c r="E642" s="1" t="n">
        <v>46224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46224</v>
      </c>
      <c r="F643" t="inlineStr">
        <is>
          <t>BLEKINGE LÄN</t>
        </is>
      </c>
      <c r="G643" t="inlineStr">
        <is>
          <t>KARLSKRONA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31244-2025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45832</v>
      </c>
      <c r="E644" s="1" t="n">
        <v>46224</v>
      </c>
      <c r="F644" t="inlineStr">
        <is>
          <t>BLEKINGE LÄN</t>
        </is>
      </c>
      <c r="G644" t="inlineStr">
        <is>
          <t>KARLSKRONA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13140-2026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46224</v>
      </c>
      <c r="F645" t="inlineStr">
        <is>
          <t>BLEKINGE LÄN</t>
        </is>
      </c>
      <c r="G645" t="inlineStr">
        <is>
          <t>KARLSKRONA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45133</v>
      </c>
      <c r="E646" s="1" t="n">
        <v>46224</v>
      </c>
      <c r="F646" t="inlineStr">
        <is>
          <t>BLEKINGE LÄN</t>
        </is>
      </c>
      <c r="G646" t="inlineStr">
        <is>
          <t>KARLSKRONA</t>
        </is>
      </c>
      <c r="I646" t="n">
        <v>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10621-2026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46077</v>
      </c>
      <c r="E647" s="1" t="n">
        <v>46224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45698</v>
      </c>
      <c r="E648" s="1" t="n">
        <v>46224</v>
      </c>
      <c r="F648" t="inlineStr">
        <is>
          <t>BLEKINGE LÄN</t>
        </is>
      </c>
      <c r="G648" t="inlineStr">
        <is>
          <t>KARLSKRONA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45178</v>
      </c>
      <c r="E649" s="1" t="n">
        <v>46224</v>
      </c>
      <c r="F649" t="inlineStr">
        <is>
          <t>BLEKINGE LÄN</t>
        </is>
      </c>
      <c r="G649" t="inlineStr">
        <is>
          <t>KARLSKRONA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44585</v>
      </c>
      <c r="E650" s="1" t="n">
        <v>46224</v>
      </c>
      <c r="F650" t="inlineStr">
        <is>
          <t>BLEKINGE LÄN</t>
        </is>
      </c>
      <c r="G650" t="inlineStr">
        <is>
          <t>KARLSKRONA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45062</v>
      </c>
      <c r="E651" s="1" t="n">
        <v>46224</v>
      </c>
      <c r="F651" t="inlineStr">
        <is>
          <t>BLEKINGE LÄN</t>
        </is>
      </c>
      <c r="G651" t="inlineStr">
        <is>
          <t>KARLSKRONA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58040-2022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46224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45394</v>
      </c>
      <c r="E653" s="1" t="n">
        <v>46224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46224</v>
      </c>
      <c r="F654" t="inlineStr">
        <is>
          <t>BLEKINGE LÄN</t>
        </is>
      </c>
      <c r="G654" t="inlineStr">
        <is>
          <t>KARLSKRONA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45344</v>
      </c>
      <c r="E655" s="1" t="n">
        <v>46224</v>
      </c>
      <c r="F655" t="inlineStr">
        <is>
          <t>BLEKINGE LÄN</t>
        </is>
      </c>
      <c r="G655" t="inlineStr">
        <is>
          <t>KARLSKRONA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44820</v>
      </c>
      <c r="E656" s="1" t="n">
        <v>46224</v>
      </c>
      <c r="F656" t="inlineStr">
        <is>
          <t>BLEKINGE LÄN</t>
        </is>
      </c>
      <c r="G656" t="inlineStr">
        <is>
          <t>KARLSKRONA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45673</v>
      </c>
      <c r="E657" s="1" t="n">
        <v>46224</v>
      </c>
      <c r="F657" t="inlineStr">
        <is>
          <t>BLEKINGE LÄN</t>
        </is>
      </c>
      <c r="G657" t="inlineStr">
        <is>
          <t>KARLSKRONA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45309</v>
      </c>
      <c r="E658" s="1" t="n">
        <v>46224</v>
      </c>
      <c r="F658" t="inlineStr">
        <is>
          <t>BLEKINGE LÄN</t>
        </is>
      </c>
      <c r="G658" t="inlineStr">
        <is>
          <t>KARLSKRONA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46224</v>
      </c>
      <c r="F659" t="inlineStr">
        <is>
          <t>BLEKINGE LÄN</t>
        </is>
      </c>
      <c r="G659" t="inlineStr">
        <is>
          <t>KARLSKRONA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34952-2023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45142</v>
      </c>
      <c r="E660" s="1" t="n">
        <v>46224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46224</v>
      </c>
      <c r="F661" t="inlineStr">
        <is>
          <t>BLEKINGE LÄN</t>
        </is>
      </c>
      <c r="G661" t="inlineStr">
        <is>
          <t>KARLSKRONA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44628-2022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44840</v>
      </c>
      <c r="E662" s="1" t="n">
        <v>46224</v>
      </c>
      <c r="F662" t="inlineStr">
        <is>
          <t>BLEKINGE LÄN</t>
        </is>
      </c>
      <c r="G662" t="inlineStr">
        <is>
          <t>KARLSKRONA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26602-2025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45809</v>
      </c>
      <c r="E663" s="1" t="n">
        <v>46224</v>
      </c>
      <c r="F663" t="inlineStr">
        <is>
          <t>BLEKINGE LÄN</t>
        </is>
      </c>
      <c r="G663" t="inlineStr">
        <is>
          <t>KARLSKRONA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45483-2024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45577</v>
      </c>
      <c r="E664" s="1" t="n">
        <v>46224</v>
      </c>
      <c r="F664" t="inlineStr">
        <is>
          <t>BLEKINGE LÄN</t>
        </is>
      </c>
      <c r="G664" t="inlineStr">
        <is>
          <t>KARLSKRONA</t>
        </is>
      </c>
      <c r="I664" t="n">
        <v>8.4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45094</v>
      </c>
      <c r="E665" s="1" t="n">
        <v>46224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45208</v>
      </c>
      <c r="E666" s="1" t="n">
        <v>46224</v>
      </c>
      <c r="F666" t="inlineStr">
        <is>
          <t>BLEKINGE LÄN</t>
        </is>
      </c>
      <c r="G666" t="inlineStr">
        <is>
          <t>KARLSKRONA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14177-2024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45393</v>
      </c>
      <c r="E667" s="1" t="n">
        <v>46224</v>
      </c>
      <c r="F667" t="inlineStr">
        <is>
          <t>BLEKINGE LÄN</t>
        </is>
      </c>
      <c r="G667" t="inlineStr">
        <is>
          <t>KARLSKRONA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46224</v>
      </c>
      <c r="F668" t="inlineStr">
        <is>
          <t>BLEKINGE LÄN</t>
        </is>
      </c>
      <c r="G668" t="inlineStr">
        <is>
          <t>KARLSKRONA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46158</v>
      </c>
      <c r="E669" s="1" t="n">
        <v>46224</v>
      </c>
      <c r="F669" t="inlineStr">
        <is>
          <t>BLEKINGE LÄN</t>
        </is>
      </c>
      <c r="G669" t="inlineStr">
        <is>
          <t>KARLSKRONA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38185-2023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45161</v>
      </c>
      <c r="E670" s="1" t="n">
        <v>46224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35643-2024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45531</v>
      </c>
      <c r="E671" s="1" t="n">
        <v>46224</v>
      </c>
      <c r="F671" t="inlineStr">
        <is>
          <t>BLEKINGE LÄN</t>
        </is>
      </c>
      <c r="G671" t="inlineStr">
        <is>
          <t>KARLSKRONA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6470-2025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45699</v>
      </c>
      <c r="E672" s="1" t="n">
        <v>46224</v>
      </c>
      <c r="F672" t="inlineStr">
        <is>
          <t>BLEKINGE LÄN</t>
        </is>
      </c>
      <c r="G672" t="inlineStr">
        <is>
          <t>KARLSKRONA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45809</v>
      </c>
      <c r="E673" s="1" t="n">
        <v>46224</v>
      </c>
      <c r="F673" t="inlineStr">
        <is>
          <t>BLEKINGE LÄN</t>
        </is>
      </c>
      <c r="G673" t="inlineStr">
        <is>
          <t>KARLSKRONA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22796-2026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46158</v>
      </c>
      <c r="E674" s="1" t="n">
        <v>46224</v>
      </c>
      <c r="F674" t="inlineStr">
        <is>
          <t>BLEKINGE LÄN</t>
        </is>
      </c>
      <c r="G674" t="inlineStr">
        <is>
          <t>KARLSKRONA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22798-2026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46158</v>
      </c>
      <c r="E675" s="1" t="n">
        <v>46224</v>
      </c>
      <c r="F675" t="inlineStr">
        <is>
          <t>BLEKINGE LÄN</t>
        </is>
      </c>
      <c r="G675" t="inlineStr">
        <is>
          <t>KARLSKRONA</t>
        </is>
      </c>
      <c r="I675" t="n">
        <v>7.5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46158</v>
      </c>
      <c r="E676" s="1" t="n">
        <v>46224</v>
      </c>
      <c r="F676" t="inlineStr">
        <is>
          <t>BLEKINGE LÄN</t>
        </is>
      </c>
      <c r="G676" t="inlineStr">
        <is>
          <t>KARLSKRONA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22802-2026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46158</v>
      </c>
      <c r="E677" s="1" t="n">
        <v>46224</v>
      </c>
      <c r="F677" t="inlineStr">
        <is>
          <t>BLEKINGE LÄN</t>
        </is>
      </c>
      <c r="G677" t="inlineStr">
        <is>
          <t>KARLSKRONA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45140</v>
      </c>
      <c r="E678" s="1" t="n">
        <v>46224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22799-2026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46158</v>
      </c>
      <c r="E679" s="1" t="n">
        <v>46224</v>
      </c>
      <c r="F679" t="inlineStr">
        <is>
          <t>BLEKINGE LÄN</t>
        </is>
      </c>
      <c r="G679" t="inlineStr">
        <is>
          <t>KARLSKRONA</t>
        </is>
      </c>
      <c r="I679" t="n">
        <v>5.8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7119-2024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45344</v>
      </c>
      <c r="E680" s="1" t="n">
        <v>46224</v>
      </c>
      <c r="F680" t="inlineStr">
        <is>
          <t>BLEKINGE LÄN</t>
        </is>
      </c>
      <c r="G680" t="inlineStr">
        <is>
          <t>KARLSKRONA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46224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50967-2023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45218</v>
      </c>
      <c r="E682" s="1" t="n">
        <v>46224</v>
      </c>
      <c r="F682" t="inlineStr">
        <is>
          <t>BLEKINGE LÄN</t>
        </is>
      </c>
      <c r="G682" t="inlineStr">
        <is>
          <t>KARLSKRONA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30064-2022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44757</v>
      </c>
      <c r="E683" s="1" t="n">
        <v>46224</v>
      </c>
      <c r="F683" t="inlineStr">
        <is>
          <t>BLEKINGE LÄN</t>
        </is>
      </c>
      <c r="G683" t="inlineStr">
        <is>
          <t>KARLSKRONA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46037</v>
      </c>
      <c r="E684" s="1" t="n">
        <v>46224</v>
      </c>
      <c r="F684" t="inlineStr">
        <is>
          <t>BLEKINGE LÄN</t>
        </is>
      </c>
      <c r="G684" t="inlineStr">
        <is>
          <t>KARLSKRONA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9763-2022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44619</v>
      </c>
      <c r="E685" s="1" t="n">
        <v>46224</v>
      </c>
      <c r="F685" t="inlineStr">
        <is>
          <t>BLEKINGE LÄN</t>
        </is>
      </c>
      <c r="G685" t="inlineStr">
        <is>
          <t>KARLSKRONA</t>
        </is>
      </c>
      <c r="I685" t="n">
        <v>11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45195</v>
      </c>
      <c r="E686" s="1" t="n">
        <v>46224</v>
      </c>
      <c r="F686" t="inlineStr">
        <is>
          <t>BLEKINGE LÄN</t>
        </is>
      </c>
      <c r="G686" t="inlineStr">
        <is>
          <t>KARLSKRONA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46224</v>
      </c>
      <c r="F687" t="inlineStr">
        <is>
          <t>BLEKINGE LÄN</t>
        </is>
      </c>
      <c r="G687" t="inlineStr">
        <is>
          <t>KARLSKRONA</t>
        </is>
      </c>
      <c r="I687" t="n">
        <v>14.7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46224</v>
      </c>
      <c r="F688" t="inlineStr">
        <is>
          <t>BLEKINGE LÄN</t>
        </is>
      </c>
      <c r="G688" t="inlineStr">
        <is>
          <t>KARLSKRONA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59122-2024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45637</v>
      </c>
      <c r="E689" s="1" t="n">
        <v>46224</v>
      </c>
      <c r="F689" t="inlineStr">
        <is>
          <t>BLEKINGE LÄN</t>
        </is>
      </c>
      <c r="G689" t="inlineStr">
        <is>
          <t>KARLSKRONA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42532-2023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46224</v>
      </c>
      <c r="F690" t="inlineStr">
        <is>
          <t>BLEKINGE LÄN</t>
        </is>
      </c>
      <c r="G690" t="inlineStr">
        <is>
          <t>KARLSKRONA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46224</v>
      </c>
      <c r="F691" t="inlineStr">
        <is>
          <t>BLEKINGE LÄN</t>
        </is>
      </c>
      <c r="G691" t="inlineStr">
        <is>
          <t>KARLSKRONA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41201-2022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44825</v>
      </c>
      <c r="E692" s="1" t="n">
        <v>46224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43606-2022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44837</v>
      </c>
      <c r="E693" s="1" t="n">
        <v>46224</v>
      </c>
      <c r="F693" t="inlineStr">
        <is>
          <t>BLEKINGE LÄN</t>
        </is>
      </c>
      <c r="G693" t="inlineStr">
        <is>
          <t>KARLSKRONA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2191-2024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45309</v>
      </c>
      <c r="E694" s="1" t="n">
        <v>46224</v>
      </c>
      <c r="F694" t="inlineStr">
        <is>
          <t>BLEKINGE LÄN</t>
        </is>
      </c>
      <c r="G694" t="inlineStr">
        <is>
          <t>KARLSKRONA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42861-2023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45182</v>
      </c>
      <c r="E695" s="1" t="n">
        <v>46224</v>
      </c>
      <c r="F695" t="inlineStr">
        <is>
          <t>BLEKINGE LÄN</t>
        </is>
      </c>
      <c r="G695" t="inlineStr">
        <is>
          <t>KARLSKRONA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15456-2025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45747</v>
      </c>
      <c r="E696" s="1" t="n">
        <v>46224</v>
      </c>
      <c r="F696" t="inlineStr">
        <is>
          <t>BLEKINGE LÄN</t>
        </is>
      </c>
      <c r="G696" t="inlineStr">
        <is>
          <t>KARLSKRONA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23376-2026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46224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46224</v>
      </c>
      <c r="F698" t="inlineStr">
        <is>
          <t>BLEKINGE LÄN</t>
        </is>
      </c>
      <c r="G698" t="inlineStr">
        <is>
          <t>KARLSKRONA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25975-2023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45090</v>
      </c>
      <c r="E699" s="1" t="n">
        <v>46224</v>
      </c>
      <c r="F699" t="inlineStr">
        <is>
          <t>BLEKINGE LÄN</t>
        </is>
      </c>
      <c r="G699" t="inlineStr">
        <is>
          <t>KARLSKRONA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4205-2024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45324</v>
      </c>
      <c r="E700" s="1" t="n">
        <v>46224</v>
      </c>
      <c r="F700" t="inlineStr">
        <is>
          <t>BLEKINGE LÄN</t>
        </is>
      </c>
      <c r="G700" t="inlineStr">
        <is>
          <t>KARLSKRONA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51934-2023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45223</v>
      </c>
      <c r="E701" s="1" t="n">
        <v>46224</v>
      </c>
      <c r="F701" t="inlineStr">
        <is>
          <t>BLEKINGE LÄN</t>
        </is>
      </c>
      <c r="G701" t="inlineStr">
        <is>
          <t>KARLSKRONA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40579-2023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45170</v>
      </c>
      <c r="E702" s="1" t="n">
        <v>46224</v>
      </c>
      <c r="F702" t="inlineStr">
        <is>
          <t>BLEKINGE LÄN</t>
        </is>
      </c>
      <c r="G702" t="inlineStr">
        <is>
          <t>KARLSKRONA</t>
        </is>
      </c>
      <c r="I702" t="n">
        <v>9.199999999999999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18730-2023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45042</v>
      </c>
      <c r="E703" s="1" t="n">
        <v>46224</v>
      </c>
      <c r="F703" t="inlineStr">
        <is>
          <t>BLEKINGE LÄN</t>
        </is>
      </c>
      <c r="G703" t="inlineStr">
        <is>
          <t>KARLSKRONA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46162</v>
      </c>
      <c r="E704" s="1" t="n">
        <v>46224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46224</v>
      </c>
      <c r="F705" t="inlineStr">
        <is>
          <t>BLEKINGE LÄN</t>
        </is>
      </c>
      <c r="G705" t="inlineStr">
        <is>
          <t>KARLSKRONA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38392-2023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45162</v>
      </c>
      <c r="E706" s="1" t="n">
        <v>46224</v>
      </c>
      <c r="F706" t="inlineStr">
        <is>
          <t>BLEKINGE LÄN</t>
        </is>
      </c>
      <c r="G706" t="inlineStr">
        <is>
          <t>KARLSKRONA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56539-2022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44893</v>
      </c>
      <c r="E707" s="1" t="n">
        <v>46224</v>
      </c>
      <c r="F707" t="inlineStr">
        <is>
          <t>BLEKINGE LÄN</t>
        </is>
      </c>
      <c r="G707" t="inlineStr">
        <is>
          <t>KARLSKRONA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26490-2023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45092</v>
      </c>
      <c r="E708" s="1" t="n">
        <v>46224</v>
      </c>
      <c r="F708" t="inlineStr">
        <is>
          <t>BLEKINGE LÄN</t>
        </is>
      </c>
      <c r="G708" t="inlineStr">
        <is>
          <t>KARLSKRONA</t>
        </is>
      </c>
      <c r="I708" t="n">
        <v>10.8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46164</v>
      </c>
      <c r="E709" s="1" t="n">
        <v>46224</v>
      </c>
      <c r="F709" t="inlineStr">
        <is>
          <t>BLEKINGE LÄN</t>
        </is>
      </c>
      <c r="G709" t="inlineStr">
        <is>
          <t>KARLSKRONA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30134-2026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46206</v>
      </c>
      <c r="E710" s="1" t="n">
        <v>46224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30120-2026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46224</v>
      </c>
      <c r="F711" t="inlineStr">
        <is>
          <t>BLEKINGE LÄN</t>
        </is>
      </c>
      <c r="G711" t="inlineStr">
        <is>
          <t>KARLSKRONA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23927-2026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46224</v>
      </c>
      <c r="F712" t="inlineStr">
        <is>
          <t>BLEKINGE LÄN</t>
        </is>
      </c>
      <c r="G712" t="inlineStr">
        <is>
          <t>KARLSKRONA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44930</v>
      </c>
      <c r="E713" s="1" t="n">
        <v>46224</v>
      </c>
      <c r="F713" t="inlineStr">
        <is>
          <t>BLEKINGE LÄN</t>
        </is>
      </c>
      <c r="G713" t="inlineStr">
        <is>
          <t>KARLSKRONA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23687-2026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46164</v>
      </c>
      <c r="E714" s="1" t="n">
        <v>46224</v>
      </c>
      <c r="F714" t="inlineStr">
        <is>
          <t>BLEKINGE LÄN</t>
        </is>
      </c>
      <c r="G714" t="inlineStr">
        <is>
          <t>KARLSKRONA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46224</v>
      </c>
      <c r="F715" t="inlineStr">
        <is>
          <t>BLEKINGE LÄN</t>
        </is>
      </c>
      <c r="G715" t="inlineStr">
        <is>
          <t>KARLSKRONA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51477-2021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44461</v>
      </c>
      <c r="E716" s="1" t="n">
        <v>46224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27277-2026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46188</v>
      </c>
      <c r="E717" s="1" t="n">
        <v>46224</v>
      </c>
      <c r="F717" t="inlineStr">
        <is>
          <t>BLEKINGE LÄN</t>
        </is>
      </c>
      <c r="G717" t="inlineStr">
        <is>
          <t>KARLSKRONA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45092</v>
      </c>
      <c r="E718" s="1" t="n">
        <v>46224</v>
      </c>
      <c r="F718" t="inlineStr">
        <is>
          <t>BLEKINGE LÄN</t>
        </is>
      </c>
      <c r="G718" t="inlineStr">
        <is>
          <t>KARLSKRONA</t>
        </is>
      </c>
      <c r="I718" t="n">
        <v>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24375-2026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46224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23707-2024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45454</v>
      </c>
      <c r="E720" s="1" t="n">
        <v>46224</v>
      </c>
      <c r="F720" t="inlineStr">
        <is>
          <t>BLEKINGE LÄN</t>
        </is>
      </c>
      <c r="G720" t="inlineStr">
        <is>
          <t>KARLSKRONA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40324-2023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45169</v>
      </c>
      <c r="E721" s="1" t="n">
        <v>46224</v>
      </c>
      <c r="F721" t="inlineStr">
        <is>
          <t>BLEKINGE LÄN</t>
        </is>
      </c>
      <c r="G721" t="inlineStr">
        <is>
          <t>KARLSKRONA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44407-2024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45573</v>
      </c>
      <c r="E722" s="1" t="n">
        <v>46224</v>
      </c>
      <c r="F722" t="inlineStr">
        <is>
          <t>BLEKINGE LÄN</t>
        </is>
      </c>
      <c r="G722" t="inlineStr">
        <is>
          <t>KARLSKRONA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18124-2025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45761</v>
      </c>
      <c r="E723" s="1" t="n">
        <v>46224</v>
      </c>
      <c r="F723" t="inlineStr">
        <is>
          <t>BLEKINGE LÄN</t>
        </is>
      </c>
      <c r="G723" t="inlineStr">
        <is>
          <t>KARLSKRONA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65798-2021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44517</v>
      </c>
      <c r="E724" s="1" t="n">
        <v>46224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16532-2023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45027</v>
      </c>
      <c r="E725" s="1" t="n">
        <v>46224</v>
      </c>
      <c r="F725" t="inlineStr">
        <is>
          <t>BLEKINGE LÄN</t>
        </is>
      </c>
      <c r="G725" t="inlineStr">
        <is>
          <t>KARLSKRONA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45573-2023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45194</v>
      </c>
      <c r="E726" s="1" t="n">
        <v>46224</v>
      </c>
      <c r="F726" t="inlineStr">
        <is>
          <t>BLEKINGE LÄN</t>
        </is>
      </c>
      <c r="G726" t="inlineStr">
        <is>
          <t>KARLSKRONA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45309</v>
      </c>
      <c r="E727" s="1" t="n">
        <v>46224</v>
      </c>
      <c r="F727" t="inlineStr">
        <is>
          <t>BLEKINGE LÄN</t>
        </is>
      </c>
      <c r="G727" t="inlineStr">
        <is>
          <t>KARLSKRONA</t>
        </is>
      </c>
      <c r="I727" t="n">
        <v>8.199999999999999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20606-2022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44700</v>
      </c>
      <c r="E728" s="1" t="n">
        <v>46224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45674</v>
      </c>
      <c r="E729" s="1" t="n">
        <v>46224</v>
      </c>
      <c r="F729" t="inlineStr">
        <is>
          <t>BLEKINGE LÄN</t>
        </is>
      </c>
      <c r="G729" t="inlineStr">
        <is>
          <t>KARLSKRONA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9153-2026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46224</v>
      </c>
      <c r="F730" t="inlineStr">
        <is>
          <t>BLEKINGE LÄN</t>
        </is>
      </c>
      <c r="G730" t="inlineStr">
        <is>
          <t>KARLSKRONA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46224</v>
      </c>
      <c r="F731" t="inlineStr">
        <is>
          <t>BLEKINGE LÄN</t>
        </is>
      </c>
      <c r="G731" t="inlineStr">
        <is>
          <t>KARLSKRONA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7066-2022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44603</v>
      </c>
      <c r="E732" s="1" t="n">
        <v>46224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45225</v>
      </c>
      <c r="E733" s="1" t="n">
        <v>46224</v>
      </c>
      <c r="F733" t="inlineStr">
        <is>
          <t>BLEKINGE LÄN</t>
        </is>
      </c>
      <c r="G733" t="inlineStr">
        <is>
          <t>KARLSKRONA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14308-2024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45393</v>
      </c>
      <c r="E734" s="1" t="n">
        <v>46224</v>
      </c>
      <c r="F734" t="inlineStr">
        <is>
          <t>BLEKINGE LÄN</t>
        </is>
      </c>
      <c r="G734" t="inlineStr">
        <is>
          <t>KARLSKRONA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9306-2022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44616</v>
      </c>
      <c r="E735" s="1" t="n">
        <v>46224</v>
      </c>
      <c r="F735" t="inlineStr">
        <is>
          <t>BLEKINGE LÄN</t>
        </is>
      </c>
      <c r="G735" t="inlineStr">
        <is>
          <t>KARLSKRONA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41243-2023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45174</v>
      </c>
      <c r="E736" s="1" t="n">
        <v>46224</v>
      </c>
      <c r="F736" t="inlineStr">
        <is>
          <t>BLEKINGE LÄN</t>
        </is>
      </c>
      <c r="G736" t="inlineStr">
        <is>
          <t>KARLSKRONA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23072-2023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45070</v>
      </c>
      <c r="E737" s="1" t="n">
        <v>46224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45037</v>
      </c>
      <c r="E738" s="1" t="n">
        <v>46224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45092</v>
      </c>
      <c r="E739" s="1" t="n">
        <v>46224</v>
      </c>
      <c r="F739" t="inlineStr">
        <is>
          <t>BLEKINGE LÄN</t>
        </is>
      </c>
      <c r="G739" t="inlineStr">
        <is>
          <t>KARLSKRONA</t>
        </is>
      </c>
      <c r="I739" t="n">
        <v>39.4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60071-2022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44909</v>
      </c>
      <c r="E740" s="1" t="n">
        <v>46224</v>
      </c>
      <c r="F740" t="inlineStr">
        <is>
          <t>BLEKINGE LÄN</t>
        </is>
      </c>
      <c r="G740" t="inlineStr">
        <is>
          <t>KARLSKRONA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45076</v>
      </c>
      <c r="E741" s="1" t="n">
        <v>46224</v>
      </c>
      <c r="F741" t="inlineStr">
        <is>
          <t>BLEKINGE LÄN</t>
        </is>
      </c>
      <c r="G741" t="inlineStr">
        <is>
          <t>KARLSKRONA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58059-2022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46224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46224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16316-2026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46111</v>
      </c>
      <c r="E744" s="1" t="n">
        <v>46224</v>
      </c>
      <c r="F744" t="inlineStr">
        <is>
          <t>BLEKINGE LÄN</t>
        </is>
      </c>
      <c r="G744" t="inlineStr">
        <is>
          <t>KARLSKRONA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25309-2026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46176</v>
      </c>
      <c r="E745" s="1" t="n">
        <v>46224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46224</v>
      </c>
      <c r="F746" t="inlineStr">
        <is>
          <t>BLEKINGE LÄN</t>
        </is>
      </c>
      <c r="G746" t="inlineStr">
        <is>
          <t>KARLSKRONA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43820-2024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45571</v>
      </c>
      <c r="E747" s="1" t="n">
        <v>46224</v>
      </c>
      <c r="F747" t="inlineStr">
        <is>
          <t>BLEKINGE LÄN</t>
        </is>
      </c>
      <c r="G747" t="inlineStr">
        <is>
          <t>KARLSKRONA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42613-2024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46224</v>
      </c>
      <c r="F748" t="inlineStr">
        <is>
          <t>BLEKINGE LÄN</t>
        </is>
      </c>
      <c r="G748" t="inlineStr">
        <is>
          <t>KARLSKRONA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23858-2022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44722</v>
      </c>
      <c r="E749" s="1" t="n">
        <v>46224</v>
      </c>
      <c r="F749" t="inlineStr">
        <is>
          <t>BLEKINGE LÄN</t>
        </is>
      </c>
      <c r="G749" t="inlineStr">
        <is>
          <t>KARLSKRONA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26092-2026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46181</v>
      </c>
      <c r="E750" s="1" t="n">
        <v>46224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58804-2022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44903</v>
      </c>
      <c r="E751" s="1" t="n">
        <v>46224</v>
      </c>
      <c r="F751" t="inlineStr">
        <is>
          <t>BLEKINGE LÄN</t>
        </is>
      </c>
      <c r="G751" t="inlineStr">
        <is>
          <t>KARLSKRONA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36966-2023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45154</v>
      </c>
      <c r="E752" s="1" t="n">
        <v>46224</v>
      </c>
      <c r="F752" t="inlineStr">
        <is>
          <t>BLEKINGE LÄN</t>
        </is>
      </c>
      <c r="G752" t="inlineStr">
        <is>
          <t>KARLSKRONA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46224</v>
      </c>
      <c r="F753" t="inlineStr">
        <is>
          <t>BLEKINGE LÄN</t>
        </is>
      </c>
      <c r="G753" t="inlineStr">
        <is>
          <t>KARLSKRONA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26108-2026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46224</v>
      </c>
      <c r="F754" t="inlineStr">
        <is>
          <t>BLEKINGE LÄN</t>
        </is>
      </c>
      <c r="G754" t="inlineStr">
        <is>
          <t>KARLSKRONA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44711</v>
      </c>
      <c r="E755" s="1" t="n">
        <v>46224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25434-2026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46224</v>
      </c>
      <c r="F756" t="inlineStr">
        <is>
          <t>BLEKINGE LÄN</t>
        </is>
      </c>
      <c r="G756" t="inlineStr">
        <is>
          <t>KARLSKRONA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46224</v>
      </c>
      <c r="F757" t="inlineStr">
        <is>
          <t>BLEKINGE LÄN</t>
        </is>
      </c>
      <c r="G757" t="inlineStr">
        <is>
          <t>KARLSKRONA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19515-2022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44693</v>
      </c>
      <c r="E758" s="1" t="n">
        <v>46224</v>
      </c>
      <c r="F758" t="inlineStr">
        <is>
          <t>BLEKINGE LÄN</t>
        </is>
      </c>
      <c r="G758" t="inlineStr">
        <is>
          <t>KARLSKRONA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44581</v>
      </c>
      <c r="E759" s="1" t="n">
        <v>46224</v>
      </c>
      <c r="F759" t="inlineStr">
        <is>
          <t>BLEKINGE LÄN</t>
        </is>
      </c>
      <c r="G759" t="inlineStr">
        <is>
          <t>KARLSKRONA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23099-2023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45075</v>
      </c>
      <c r="E760" s="1" t="n">
        <v>46224</v>
      </c>
      <c r="F760" t="inlineStr">
        <is>
          <t>BLEKINGE LÄN</t>
        </is>
      </c>
      <c r="G760" t="inlineStr">
        <is>
          <t>KARLSKRONA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53994-2024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45616</v>
      </c>
      <c r="E761" s="1" t="n">
        <v>46224</v>
      </c>
      <c r="F761" t="inlineStr">
        <is>
          <t>BLEKINGE LÄN</t>
        </is>
      </c>
      <c r="G761" t="inlineStr">
        <is>
          <t>KARLSKRONA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21150-2023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45062</v>
      </c>
      <c r="E762" s="1" t="n">
        <v>46224</v>
      </c>
      <c r="F762" t="inlineStr">
        <is>
          <t>BLEKINGE LÄN</t>
        </is>
      </c>
      <c r="G762" t="inlineStr">
        <is>
          <t>KARLSKRONA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46224</v>
      </c>
      <c r="F763" t="inlineStr">
        <is>
          <t>BLEKINGE LÄN</t>
        </is>
      </c>
      <c r="G763" t="inlineStr">
        <is>
          <t>KARLSKRONA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30954-2023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45113</v>
      </c>
      <c r="E764" s="1" t="n">
        <v>46224</v>
      </c>
      <c r="F764" t="inlineStr">
        <is>
          <t>BLEKINGE LÄN</t>
        </is>
      </c>
      <c r="G764" t="inlineStr">
        <is>
          <t>KARLSKRONA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25648-2026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46224</v>
      </c>
      <c r="F765" t="inlineStr">
        <is>
          <t>BLEKINGE LÄN</t>
        </is>
      </c>
      <c r="G765" t="inlineStr">
        <is>
          <t>KARLSKRONA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25650-2026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46177</v>
      </c>
      <c r="E766" s="1" t="n">
        <v>46224</v>
      </c>
      <c r="F766" t="inlineStr">
        <is>
          <t>BLEKINGE LÄN</t>
        </is>
      </c>
      <c r="G766" t="inlineStr">
        <is>
          <t>KARLSKRONA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2133-2025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45672</v>
      </c>
      <c r="E767" s="1" t="n">
        <v>46224</v>
      </c>
      <c r="F767" t="inlineStr">
        <is>
          <t>BLEKINGE LÄN</t>
        </is>
      </c>
      <c r="G767" t="inlineStr">
        <is>
          <t>KARLSKRONA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972-2024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45301</v>
      </c>
      <c r="E768" s="1" t="n">
        <v>46224</v>
      </c>
      <c r="F768" t="inlineStr">
        <is>
          <t>BLEKINGE LÄN</t>
        </is>
      </c>
      <c r="G768" t="inlineStr">
        <is>
          <t>KARLSKRONA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17170-2023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46224</v>
      </c>
      <c r="F769" t="inlineStr">
        <is>
          <t>BLEKINGE LÄN</t>
        </is>
      </c>
      <c r="G769" t="inlineStr">
        <is>
          <t>KARLSKRONA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7596-2024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45348</v>
      </c>
      <c r="E770" s="1" t="n">
        <v>46224</v>
      </c>
      <c r="F770" t="inlineStr">
        <is>
          <t>BLEKINGE LÄN</t>
        </is>
      </c>
      <c r="G770" t="inlineStr">
        <is>
          <t>KARLSKRONA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28615-2022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44748</v>
      </c>
      <c r="E771" s="1" t="n">
        <v>46224</v>
      </c>
      <c r="F771" t="inlineStr">
        <is>
          <t>BLEKINGE LÄN</t>
        </is>
      </c>
      <c r="G771" t="inlineStr">
        <is>
          <t>KARLSKRONA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20516-2025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45775</v>
      </c>
      <c r="E772" s="1" t="n">
        <v>46224</v>
      </c>
      <c r="F772" t="inlineStr">
        <is>
          <t>BLEKINGE LÄN</t>
        </is>
      </c>
      <c r="G772" t="inlineStr">
        <is>
          <t>KARLSKRONA</t>
        </is>
      </c>
      <c r="I772" t="n">
        <v>9.6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19108-2023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45048</v>
      </c>
      <c r="E773" s="1" t="n">
        <v>46224</v>
      </c>
      <c r="F773" t="inlineStr">
        <is>
          <t>BLEKINGE LÄN</t>
        </is>
      </c>
      <c r="G773" t="inlineStr">
        <is>
          <t>KARLSKRONA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16292-2023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45028</v>
      </c>
      <c r="E774" s="1" t="n">
        <v>46224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23110-2023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45075</v>
      </c>
      <c r="E775" s="1" t="n">
        <v>46224</v>
      </c>
      <c r="F775" t="inlineStr">
        <is>
          <t>BLEKINGE LÄN</t>
        </is>
      </c>
      <c r="G775" t="inlineStr">
        <is>
          <t>KARLSKRONA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51419-2024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45604</v>
      </c>
      <c r="E776" s="1" t="n">
        <v>46224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30660-2024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45495</v>
      </c>
      <c r="E777" s="1" t="n">
        <v>46224</v>
      </c>
      <c r="F777" t="inlineStr">
        <is>
          <t>BLEKINGE LÄN</t>
        </is>
      </c>
      <c r="G777" t="inlineStr">
        <is>
          <t>KARLSKRONA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23104-2023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45075</v>
      </c>
      <c r="E778" s="1" t="n">
        <v>46224</v>
      </c>
      <c r="F778" t="inlineStr">
        <is>
          <t>BLEKINGE LÄN</t>
        </is>
      </c>
      <c r="G778" t="inlineStr">
        <is>
          <t>KARLSKRONA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36807-2024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45538</v>
      </c>
      <c r="E779" s="1" t="n">
        <v>46224</v>
      </c>
      <c r="F779" t="inlineStr">
        <is>
          <t>BLEKINGE LÄN</t>
        </is>
      </c>
      <c r="G779" t="inlineStr">
        <is>
          <t>KARLSKRONA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48975-2024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45594</v>
      </c>
      <c r="E780" s="1" t="n">
        <v>46224</v>
      </c>
      <c r="F780" t="inlineStr">
        <is>
          <t>BLEKINGE LÄN</t>
        </is>
      </c>
      <c r="G780" t="inlineStr">
        <is>
          <t>KARLSKRONA</t>
        </is>
      </c>
      <c r="I780" t="n">
        <v>7.6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40357-2024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45555</v>
      </c>
      <c r="E781" s="1" t="n">
        <v>46224</v>
      </c>
      <c r="F781" t="inlineStr">
        <is>
          <t>BLEKINGE LÄN</t>
        </is>
      </c>
      <c r="G781" t="inlineStr">
        <is>
          <t>KARLSKRONA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7252-2024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45344</v>
      </c>
      <c r="E782" s="1" t="n">
        <v>46224</v>
      </c>
      <c r="F782" t="inlineStr">
        <is>
          <t>BLEKINGE LÄN</t>
        </is>
      </c>
      <c r="G782" t="inlineStr">
        <is>
          <t>KARLSKRONA</t>
        </is>
      </c>
      <c r="H782" t="inlineStr">
        <is>
          <t>Kommuner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31021-2024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45499</v>
      </c>
      <c r="E783" s="1" t="n">
        <v>46224</v>
      </c>
      <c r="F783" t="inlineStr">
        <is>
          <t>BLEKINGE LÄN</t>
        </is>
      </c>
      <c r="G783" t="inlineStr">
        <is>
          <t>KARLSKRONA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11411-2024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45372</v>
      </c>
      <c r="E784" s="1" t="n">
        <v>46224</v>
      </c>
      <c r="F784" t="inlineStr">
        <is>
          <t>BLEKINGE LÄN</t>
        </is>
      </c>
      <c r="G784" t="inlineStr">
        <is>
          <t>KARLSKRONA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44425-2024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45573</v>
      </c>
      <c r="E785" s="1" t="n">
        <v>46224</v>
      </c>
      <c r="F785" t="inlineStr">
        <is>
          <t>BLEKINGE LÄN</t>
        </is>
      </c>
      <c r="G785" t="inlineStr">
        <is>
          <t>KARLSKRONA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55270-2024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45621</v>
      </c>
      <c r="E786" s="1" t="n">
        <v>46224</v>
      </c>
      <c r="F786" t="inlineStr">
        <is>
          <t>BLEKINGE LÄN</t>
        </is>
      </c>
      <c r="G786" t="inlineStr">
        <is>
          <t>KARLSKRONA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37400-2021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44398</v>
      </c>
      <c r="E787" s="1" t="n">
        <v>46224</v>
      </c>
      <c r="F787" t="inlineStr">
        <is>
          <t>BLEKINGE LÄN</t>
        </is>
      </c>
      <c r="G787" t="inlineStr">
        <is>
          <t>KARLSKRONA</t>
        </is>
      </c>
      <c r="I787" t="n">
        <v>23.4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46224</v>
      </c>
      <c r="F788" t="inlineStr">
        <is>
          <t>BLEKINGE LÄN</t>
        </is>
      </c>
      <c r="G788" t="inlineStr">
        <is>
          <t>KARLSKRONA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21648-2025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45783</v>
      </c>
      <c r="E789" s="1" t="n">
        <v>46224</v>
      </c>
      <c r="F789" t="inlineStr">
        <is>
          <t>BLEKINGE LÄN</t>
        </is>
      </c>
      <c r="G789" t="inlineStr">
        <is>
          <t>KARLSKRONA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13535-2024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45387</v>
      </c>
      <c r="E790" s="1" t="n">
        <v>46224</v>
      </c>
      <c r="F790" t="inlineStr">
        <is>
          <t>BLEKINGE LÄN</t>
        </is>
      </c>
      <c r="G790" t="inlineStr">
        <is>
          <t>KARLSKRONA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56340-2024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45624</v>
      </c>
      <c r="E791" s="1" t="n">
        <v>46224</v>
      </c>
      <c r="F791" t="inlineStr">
        <is>
          <t>BLEKINGE LÄN</t>
        </is>
      </c>
      <c r="G791" t="inlineStr">
        <is>
          <t>KARLSKRONA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2416-2025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45674</v>
      </c>
      <c r="E792" s="1" t="n">
        <v>46224</v>
      </c>
      <c r="F792" t="inlineStr">
        <is>
          <t>BLEKINGE LÄN</t>
        </is>
      </c>
      <c r="G792" t="inlineStr">
        <is>
          <t>KARLSKRONA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45714</v>
      </c>
      <c r="E793" s="1" t="n">
        <v>46224</v>
      </c>
      <c r="F793" t="inlineStr">
        <is>
          <t>BLEKINGE LÄN</t>
        </is>
      </c>
      <c r="G793" t="inlineStr">
        <is>
          <t>KARLSKRONA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46224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868-2020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43938</v>
      </c>
      <c r="E795" s="1" t="n">
        <v>46224</v>
      </c>
      <c r="F795" t="inlineStr">
        <is>
          <t>BLEKINGE LÄN</t>
        </is>
      </c>
      <c r="G795" t="inlineStr">
        <is>
          <t>KARLSKRONA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2103-2020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44110</v>
      </c>
      <c r="E796" s="1" t="n">
        <v>46224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5417-2022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44831</v>
      </c>
      <c r="E797" s="1" t="n">
        <v>46224</v>
      </c>
      <c r="F797" t="inlineStr">
        <is>
          <t>BLEKINGE LÄN</t>
        </is>
      </c>
      <c r="G797" t="inlineStr">
        <is>
          <t>KARLSKRONA</t>
        </is>
      </c>
      <c r="H797" t="inlineStr">
        <is>
          <t>Kommuner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3203-2023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45188</v>
      </c>
      <c r="E798" s="1" t="n">
        <v>46224</v>
      </c>
      <c r="F798" t="inlineStr">
        <is>
          <t>BLEKINGE LÄN</t>
        </is>
      </c>
      <c r="G798" t="inlineStr">
        <is>
          <t>KARLSKRONA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4166-2023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45250</v>
      </c>
      <c r="E799" s="1" t="n">
        <v>46224</v>
      </c>
      <c r="F799" t="inlineStr">
        <is>
          <t>BLEKINGE LÄN</t>
        </is>
      </c>
      <c r="G799" t="inlineStr">
        <is>
          <t>KARLSKRONA</t>
        </is>
      </c>
      <c r="I799" t="n">
        <v>19.9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427-2023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44960</v>
      </c>
      <c r="E800" s="1" t="n">
        <v>46224</v>
      </c>
      <c r="F800" t="inlineStr">
        <is>
          <t>BLEKINGE LÄN</t>
        </is>
      </c>
      <c r="G800" t="inlineStr">
        <is>
          <t>KARLSKRONA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46224</v>
      </c>
      <c r="F801" t="inlineStr">
        <is>
          <t>BLEKINGE LÄN</t>
        </is>
      </c>
      <c r="G801" t="inlineStr">
        <is>
          <t>KARLSKRONA</t>
        </is>
      </c>
      <c r="I801" t="n">
        <v>50.2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763-2023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44981</v>
      </c>
      <c r="E802" s="1" t="n">
        <v>46224</v>
      </c>
      <c r="F802" t="inlineStr">
        <is>
          <t>BLEKINGE LÄN</t>
        </is>
      </c>
      <c r="G802" t="inlineStr">
        <is>
          <t>KARLSKRONA</t>
        </is>
      </c>
      <c r="I802" t="n">
        <v>30.4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865-2024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45373</v>
      </c>
      <c r="E803" s="1" t="n">
        <v>46224</v>
      </c>
      <c r="F803" t="inlineStr">
        <is>
          <t>BLEKINGE LÄN</t>
        </is>
      </c>
      <c r="G803" t="inlineStr">
        <is>
          <t>KARLSKRONA</t>
        </is>
      </c>
      <c r="I803" t="n">
        <v>16.7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372-2023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44959</v>
      </c>
      <c r="E804" s="1" t="n">
        <v>46224</v>
      </c>
      <c r="F804" t="inlineStr">
        <is>
          <t>BLEKINGE LÄN</t>
        </is>
      </c>
      <c r="G804" t="inlineStr">
        <is>
          <t>KARLSKRONA</t>
        </is>
      </c>
      <c r="I804" t="n">
        <v>17.3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624-2023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44972</v>
      </c>
      <c r="E805" s="1" t="n">
        <v>46224</v>
      </c>
      <c r="F805" t="inlineStr">
        <is>
          <t>BLEKINGE LÄN</t>
        </is>
      </c>
      <c r="G805" t="inlineStr">
        <is>
          <t>KARLSKRONA</t>
        </is>
      </c>
      <c r="I805" t="n">
        <v>13.4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2710-2023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45155</v>
      </c>
      <c r="E806" s="1" t="n">
        <v>46224</v>
      </c>
      <c r="F806" t="inlineStr">
        <is>
          <t>BLEKINGE LÄN</t>
        </is>
      </c>
      <c r="G806" t="inlineStr">
        <is>
          <t>KARLSKRONA</t>
        </is>
      </c>
      <c r="I806" t="n">
        <v>32.9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4796-2024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45611</v>
      </c>
      <c r="E807" s="1" t="n">
        <v>46224</v>
      </c>
      <c r="F807" t="inlineStr">
        <is>
          <t>BLEKINGE LÄN</t>
        </is>
      </c>
      <c r="G807" t="inlineStr">
        <is>
          <t>KARLSKRONA</t>
        </is>
      </c>
      <c r="I807" t="n">
        <v>26.8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4459-2023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45271</v>
      </c>
      <c r="E808" s="1" t="n">
        <v>46224</v>
      </c>
      <c r="F808" t="inlineStr">
        <is>
          <t>BLEKINGE LÄN</t>
        </is>
      </c>
      <c r="G808" t="inlineStr">
        <is>
          <t>KARLSKRONA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2528-2024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45474</v>
      </c>
      <c r="E809" s="1" t="n">
        <v>46224</v>
      </c>
      <c r="F809" t="inlineStr">
        <is>
          <t>BLEKINGE LÄN</t>
        </is>
      </c>
      <c r="G809" t="inlineStr">
        <is>
          <t>KARLSKRONA</t>
        </is>
      </c>
      <c r="I809" t="n">
        <v>33.3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7094-2021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44462</v>
      </c>
      <c r="E810" s="1" t="n">
        <v>46224</v>
      </c>
      <c r="F810" t="inlineStr">
        <is>
          <t>BLEKINGE LÄN</t>
        </is>
      </c>
      <c r="G810" t="inlineStr">
        <is>
          <t>KARLSKRONA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5153-2024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45646</v>
      </c>
      <c r="E811" s="1" t="n">
        <v>46224</v>
      </c>
      <c r="F811" t="inlineStr">
        <is>
          <t>BLEKINGE LÄN</t>
        </is>
      </c>
      <c r="G811" t="inlineStr">
        <is>
          <t>KARLSKRONA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855-2025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46224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466-2025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45702</v>
      </c>
      <c r="E813" s="1" t="n">
        <v>46224</v>
      </c>
      <c r="F813" t="inlineStr">
        <is>
          <t>BLEKINGE LÄN</t>
        </is>
      </c>
      <c r="G813" t="inlineStr">
        <is>
          <t>KARLSKRONA</t>
        </is>
      </c>
      <c r="I813" t="n">
        <v>50.7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686-2025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45719</v>
      </c>
      <c r="E814" s="1" t="n">
        <v>46224</v>
      </c>
      <c r="F814" t="inlineStr">
        <is>
          <t>BLEKINGE LÄN</t>
        </is>
      </c>
      <c r="G814" t="inlineStr">
        <is>
          <t>KARLSKRONA</t>
        </is>
      </c>
      <c r="I814" t="n">
        <v>24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852-2025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45734</v>
      </c>
      <c r="E815" s="1" t="n">
        <v>46224</v>
      </c>
      <c r="F815" t="inlineStr">
        <is>
          <t>BLEKINGE LÄN</t>
        </is>
      </c>
      <c r="G815" t="inlineStr">
        <is>
          <t>KARLSKRONA</t>
        </is>
      </c>
      <c r="I815" t="n">
        <v>17.4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2239-2024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45460</v>
      </c>
      <c r="E816" s="1" t="n">
        <v>46224</v>
      </c>
      <c r="F816" t="inlineStr">
        <is>
          <t>BLEKINGE LÄN</t>
        </is>
      </c>
      <c r="G816" t="inlineStr">
        <is>
          <t>KARLSKRONA</t>
        </is>
      </c>
      <c r="I816" t="n">
        <v>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46224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361-2026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46064</v>
      </c>
      <c r="E818" s="1" t="n">
        <v>46224</v>
      </c>
      <c r="F818" t="inlineStr">
        <is>
          <t>BLEKINGE LÄN</t>
        </is>
      </c>
      <c r="G818" t="inlineStr">
        <is>
          <t>KARLSKRONA</t>
        </is>
      </c>
      <c r="I818" t="n">
        <v>18.4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401-2026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46070</v>
      </c>
      <c r="E819" s="1" t="n">
        <v>46224</v>
      </c>
      <c r="F819" t="inlineStr">
        <is>
          <t>BLEKINGE LÄN</t>
        </is>
      </c>
      <c r="G819" t="inlineStr">
        <is>
          <t>KARLSKRONA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758-2026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46097</v>
      </c>
      <c r="E820" s="1" t="n">
        <v>46224</v>
      </c>
      <c r="F820" t="inlineStr">
        <is>
          <t>BLEKINGE LÄN</t>
        </is>
      </c>
      <c r="G820" t="inlineStr">
        <is>
          <t>KARLSKRONA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779-2026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46224</v>
      </c>
      <c r="F821" t="inlineStr">
        <is>
          <t>BLEKINGE LÄN</t>
        </is>
      </c>
      <c r="G821" t="inlineStr">
        <is>
          <t>KARLSKRONA</t>
        </is>
      </c>
      <c r="I821" t="n">
        <v>61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777-2026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46099</v>
      </c>
      <c r="E822" s="1" t="n">
        <v>46224</v>
      </c>
      <c r="F822" t="inlineStr">
        <is>
          <t>BLEKINGE LÄN</t>
        </is>
      </c>
      <c r="G822" t="inlineStr">
        <is>
          <t>KARLSKRONA</t>
        </is>
      </c>
      <c r="I822" t="n">
        <v>45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807-2026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46101</v>
      </c>
      <c r="E823" s="1" t="n">
        <v>46224</v>
      </c>
      <c r="F823" t="inlineStr">
        <is>
          <t>BLEKINGE LÄN</t>
        </is>
      </c>
      <c r="G823" t="inlineStr">
        <is>
          <t>KARLSKRONA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853-2026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46105</v>
      </c>
      <c r="E824" s="1" t="n">
        <v>46224</v>
      </c>
      <c r="F824" t="inlineStr">
        <is>
          <t>BLEKINGE LÄN</t>
        </is>
      </c>
      <c r="G824" t="inlineStr">
        <is>
          <t>KARLSKRONA</t>
        </is>
      </c>
      <c r="I824" t="n">
        <v>167.3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1515-2026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46164</v>
      </c>
      <c r="E825" s="1" t="n">
        <v>46224</v>
      </c>
      <c r="F825" t="inlineStr">
        <is>
          <t>BLEKINGE LÄN</t>
        </is>
      </c>
      <c r="G825" t="inlineStr">
        <is>
          <t>KARLSKRONA</t>
        </is>
      </c>
      <c r="I825" t="n">
        <v>20.2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2026-07-21T01:37:07Z</dcterms:created>
  <dcterms:modified xmlns:dcterms="http://purl.org/dc/terms/" xmlns:xsi="http://www.w3.org/2001/XMLSchema-instance" xsi:type="dcterms:W3CDTF">2026-07-21T01:37:08Z</dcterms:modified>
</cp:coreProperties>
</file>