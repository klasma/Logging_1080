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45357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45357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45357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45357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45357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45357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45357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45357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36937-2018</t>
        </is>
      </c>
      <c r="B10" s="1" t="n">
        <v>43332</v>
      </c>
      <c r="C10" s="1" t="n">
        <v>45357</v>
      </c>
      <c r="D10" t="inlineStr">
        <is>
          <t>BLEKINGE LÄN</t>
        </is>
      </c>
      <c r="E10" t="inlineStr">
        <is>
          <t>KARLSKRONA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HYPERLINK("https://klasma.github.io/Logging_1080/artfynd/A 36937-2018 artfynd.xlsx", "A 36937-2018")</f>
        <v/>
      </c>
      <c r="T10">
        <f>HYPERLINK("https://klasma.github.io/Logging_1080/kartor/A 36937-2018 karta.png", "A 36937-2018")</f>
        <v/>
      </c>
      <c r="V10">
        <f>HYPERLINK("https://klasma.github.io/Logging_1080/klagomål/A 36937-2018 FSC-klagomål.docx", "A 36937-2018")</f>
        <v/>
      </c>
      <c r="W10">
        <f>HYPERLINK("https://klasma.github.io/Logging_1080/klagomålsmail/A 36937-2018 FSC-klagomål mail.docx", "A 36937-2018")</f>
        <v/>
      </c>
      <c r="X10">
        <f>HYPERLINK("https://klasma.github.io/Logging_1080/tillsyn/A 36937-2018 tillsynsbegäran.docx", "A 36937-2018")</f>
        <v/>
      </c>
      <c r="Y10">
        <f>HYPERLINK("https://klasma.github.io/Logging_1080/tillsynsmail/A 36937-2018 tillsynsbegäran mail.docx", "A 36937-2018")</f>
        <v/>
      </c>
      <c r="Z10">
        <f>HYPERLINK("https://klasma.github.io/Logging_1080/fåglar/A 36937-2018 prioriterade fågelarter.docx", "A 36937-2018")</f>
        <v/>
      </c>
    </row>
    <row r="11" ht="15" customHeight="1">
      <c r="A11" t="inlineStr">
        <is>
          <t>A 44529-2018</t>
        </is>
      </c>
      <c r="B11" s="1" t="n">
        <v>43356</v>
      </c>
      <c r="C11" s="1" t="n">
        <v>45357</v>
      </c>
      <c r="D11" t="inlineStr">
        <is>
          <t>BLEKINGE LÄN</t>
        </is>
      </c>
      <c r="E11" t="inlineStr">
        <is>
          <t>KARLSKRONA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HYPERLINK("https://klasma.github.io/Logging_1080/artfynd/A 44529-2018 artfynd.xlsx", "A 44529-2018")</f>
        <v/>
      </c>
      <c r="T11">
        <f>HYPERLINK("https://klasma.github.io/Logging_1080/kartor/A 44529-2018 karta.png", "A 44529-2018")</f>
        <v/>
      </c>
      <c r="V11">
        <f>HYPERLINK("https://klasma.github.io/Logging_1080/klagomål/A 44529-2018 FSC-klagomål.docx", "A 44529-2018")</f>
        <v/>
      </c>
      <c r="W11">
        <f>HYPERLINK("https://klasma.github.io/Logging_1080/klagomålsmail/A 44529-2018 FSC-klagomål mail.docx", "A 44529-2018")</f>
        <v/>
      </c>
      <c r="X11">
        <f>HYPERLINK("https://klasma.github.io/Logging_1080/tillsyn/A 44529-2018 tillsynsbegäran.docx", "A 44529-2018")</f>
        <v/>
      </c>
      <c r="Y11">
        <f>HYPERLINK("https://klasma.github.io/Logging_1080/tillsynsmail/A 44529-2018 tillsynsbegäran mail.docx", "A 44529-2018")</f>
        <v/>
      </c>
    </row>
    <row r="12" ht="15" customHeight="1">
      <c r="A12" t="inlineStr">
        <is>
          <t>A 70663-2018</t>
        </is>
      </c>
      <c r="B12" s="1" t="n">
        <v>43447</v>
      </c>
      <c r="C12" s="1" t="n">
        <v>45357</v>
      </c>
      <c r="D12" t="inlineStr">
        <is>
          <t>BLEKINGE LÄN</t>
        </is>
      </c>
      <c r="E12" t="inlineStr">
        <is>
          <t>KARLSKRONA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HYPERLINK("https://klasma.github.io/Logging_1080/artfynd/A 70663-2018 artfynd.xlsx", "A 70663-2018")</f>
        <v/>
      </c>
      <c r="T12">
        <f>HYPERLINK("https://klasma.github.io/Logging_1080/kartor/A 70663-2018 karta.png", "A 70663-2018")</f>
        <v/>
      </c>
      <c r="V12">
        <f>HYPERLINK("https://klasma.github.io/Logging_1080/klagomål/A 70663-2018 FSC-klagomål.docx", "A 70663-2018")</f>
        <v/>
      </c>
      <c r="W12">
        <f>HYPERLINK("https://klasma.github.io/Logging_1080/klagomålsmail/A 70663-2018 FSC-klagomål mail.docx", "A 70663-2018")</f>
        <v/>
      </c>
      <c r="X12">
        <f>HYPERLINK("https://klasma.github.io/Logging_1080/tillsyn/A 70663-2018 tillsynsbegäran.docx", "A 70663-2018")</f>
        <v/>
      </c>
      <c r="Y12">
        <f>HYPERLINK("https://klasma.github.io/Logging_1080/tillsynsmail/A 70663-2018 tillsynsbegäran mail.docx", "A 70663-2018")</f>
        <v/>
      </c>
    </row>
    <row r="13" ht="15" customHeight="1">
      <c r="A13" t="inlineStr">
        <is>
          <t>A 71465-2018</t>
        </is>
      </c>
      <c r="B13" s="1" t="n">
        <v>43451</v>
      </c>
      <c r="C13" s="1" t="n">
        <v>45357</v>
      </c>
      <c r="D13" t="inlineStr">
        <is>
          <t>BLEKINGE LÄN</t>
        </is>
      </c>
      <c r="E13" t="inlineStr">
        <is>
          <t>KARLSKRONA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HYPERLINK("https://klasma.github.io/Logging_1080/artfynd/A 71465-2018 artfynd.xlsx", "A 71465-2018")</f>
        <v/>
      </c>
      <c r="T13">
        <f>HYPERLINK("https://klasma.github.io/Logging_1080/kartor/A 71465-2018 karta.png", "A 71465-2018")</f>
        <v/>
      </c>
      <c r="V13">
        <f>HYPERLINK("https://klasma.github.io/Logging_1080/klagomål/A 71465-2018 FSC-klagomål.docx", "A 71465-2018")</f>
        <v/>
      </c>
      <c r="W13">
        <f>HYPERLINK("https://klasma.github.io/Logging_1080/klagomålsmail/A 71465-2018 FSC-klagomål mail.docx", "A 71465-2018")</f>
        <v/>
      </c>
      <c r="X13">
        <f>HYPERLINK("https://klasma.github.io/Logging_1080/tillsyn/A 71465-2018 tillsynsbegäran.docx", "A 71465-2018")</f>
        <v/>
      </c>
      <c r="Y13">
        <f>HYPERLINK("https://klasma.github.io/Logging_1080/tillsynsmail/A 71465-2018 tillsynsbegäran mail.docx", "A 71465-2018")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45357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33062-2020</t>
        </is>
      </c>
      <c r="B15" s="1" t="n">
        <v>44021</v>
      </c>
      <c r="C15" s="1" t="n">
        <v>45357</v>
      </c>
      <c r="D15" t="inlineStr">
        <is>
          <t>BLEKINGE LÄN</t>
        </is>
      </c>
      <c r="E15" t="inlineStr">
        <is>
          <t>KARLSKRONA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HYPERLINK("https://klasma.github.io/Logging_1080/artfynd/A 33062-2020 artfynd.xlsx", "A 33062-2020")</f>
        <v/>
      </c>
      <c r="T15">
        <f>HYPERLINK("https://klasma.github.io/Logging_1080/kartor/A 33062-2020 karta.png", "A 33062-2020")</f>
        <v/>
      </c>
      <c r="V15">
        <f>HYPERLINK("https://klasma.github.io/Logging_1080/klagomål/A 33062-2020 FSC-klagomål.docx", "A 33062-2020")</f>
        <v/>
      </c>
      <c r="W15">
        <f>HYPERLINK("https://klasma.github.io/Logging_1080/klagomålsmail/A 33062-2020 FSC-klagomål mail.docx", "A 33062-2020")</f>
        <v/>
      </c>
      <c r="X15">
        <f>HYPERLINK("https://klasma.github.io/Logging_1080/tillsyn/A 33062-2020 tillsynsbegäran.docx", "A 33062-2020")</f>
        <v/>
      </c>
      <c r="Y15">
        <f>HYPERLINK("https://klasma.github.io/Logging_1080/tillsynsmail/A 33062-2020 tillsynsbegäran mail.docx", "A 33062-2020")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45357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45357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45357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45357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45357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45357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45357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45357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45357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45357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45357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45357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45357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45357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34886-2018</t>
        </is>
      </c>
      <c r="B30" s="1" t="n">
        <v>43321</v>
      </c>
      <c r="C30" s="1" t="n">
        <v>45357</v>
      </c>
      <c r="D30" t="inlineStr">
        <is>
          <t>BLEKINGE LÄN</t>
        </is>
      </c>
      <c r="E30" t="inlineStr">
        <is>
          <t>KARLSKRONA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45357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45357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45357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45357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45357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45357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45357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45357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45357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45357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45357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45357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45357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45357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45357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45357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45357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45357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45357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45357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45357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45357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45357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45357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45357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45357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45357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45357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45357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45357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45357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45357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45357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45357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45357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45357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45357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45357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45357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45357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45357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45357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45357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45357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45357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45357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45357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45357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45357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45357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45357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45357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45357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45357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45357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45357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45357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45357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45357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45357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45357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45357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45357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45357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45357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45357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45357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45357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45357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45357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45357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45357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45357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45357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45357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45357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45357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45357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45357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45357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45357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45357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45357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45357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45357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45357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45357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45357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45357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45357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45357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45357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45357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45357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45357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45357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45357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45357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45357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45357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45357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45357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45357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45357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45357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45357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45357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45357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45357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45357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45357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45357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45357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45357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45357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45357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45357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45357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45357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45357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45357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45357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45357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45357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45357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45357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45357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45357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45357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45357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45357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45357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45357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45357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45357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45357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45357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45357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45357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45357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45357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45357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45357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45357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45357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45357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45357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45357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45357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45357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45357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45357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45357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45357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45357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45357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45357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45357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45357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45357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45357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45357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45357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45357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45357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45357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45357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45357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45357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45357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45357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45357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45357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45357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45357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45357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45357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45357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45357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45357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45357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45357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45357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45357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45357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45357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45357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45357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45357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45357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45357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45357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45357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45357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45357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45357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45357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45357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45357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45357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45357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45357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45357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45357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45357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45357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45357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45357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45357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45357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45357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45357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45357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45357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45357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45357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45357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45357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45357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45357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45357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45357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45357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45357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45357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45357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45357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45357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45357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45357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45357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45357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45357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45357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45357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45357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45357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45357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45357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45357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45357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45357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45357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45357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45357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45357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45357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45357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45357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45357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45357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45357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45357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45357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45357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45357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45357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45357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45357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45357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45357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45357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45357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45357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45357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45357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45357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45357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45357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45357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45357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45357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45357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45357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45357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45357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45357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45357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45357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45357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45357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45357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45357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45357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45357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45357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45357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45357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45357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45357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45357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45357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45357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45357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45357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45357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45357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45357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45357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45357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45357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45357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45357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45357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45357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45357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45357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45357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45357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45357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45357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45357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45357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45357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45357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45357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45357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45357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45357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45357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45357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45357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45357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45357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45357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45357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45357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45357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45357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45357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45357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45357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45357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45357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45357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45357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45357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45357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45357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45357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45357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45357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45357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45357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45357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45357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45357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45357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45357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45357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45357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45357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45357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45357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45357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45357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45357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45357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45357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45357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45357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45357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45357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45357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45357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45357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45357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45357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45357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45357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45357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45357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45357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45357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45357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45357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45357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45357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45357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45357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45357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45357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45357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45357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45357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45357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45357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45357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45357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45357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45357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45357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45357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45357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45357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45357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45357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45357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45357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45357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45357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45357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45357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45357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45357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45357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45357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45357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45357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45357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45357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45357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45357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45357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45357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45357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45357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45357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45357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45357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45357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45357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45357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45357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45357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45357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45357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45357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45357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45357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45357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45357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45357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45357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45357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45357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45357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45357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45357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45357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45357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45357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45357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45357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45357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45357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45357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45357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45357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45357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45357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45357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45357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45357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45357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45357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45357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45357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45357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45357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45357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45357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45357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45357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45357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45357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45357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45357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45357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45357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45357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45357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45357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45357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45357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45357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45357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45357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45357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45357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45357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45357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45357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45357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45357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45357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45357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45357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45357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45357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45357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45357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45357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45357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45357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45357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45357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45357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45357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45357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45357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45357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45357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45357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45357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45357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45357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45357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45357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45357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45357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45357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45357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45357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45357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45357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45357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45357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45357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45357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45357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45357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45357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45357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45357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45357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45357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45357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45357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45357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45357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45357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45357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45357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45357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45357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45357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45357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45357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45357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45357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45357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45357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45357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45357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45357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45357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45357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45357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45357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45357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45357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45357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45357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45357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45357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45357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45357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45357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45357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45357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45357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45357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45357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45357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45357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45357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45357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45357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45357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45357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45357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45357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45357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45357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45357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45357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45357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45357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45357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45357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45357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45357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45357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45357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45357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45357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45357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45357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45357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45357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45357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45357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45357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45357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45357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45357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45357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45357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45357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45357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45357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45357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45357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45357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45357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45357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45357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45357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45357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45357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45357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45357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45357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45357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45357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45357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45357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45357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45357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45357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45357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45357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45357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45357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45357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45357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45357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45357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45357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45357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45357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45357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45357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45357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45357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45357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45357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45357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45357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45357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45357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45357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45357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45357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45357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45357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45357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45357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45357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45357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45357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45357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45357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45357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45357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45357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45357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45357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45357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45357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45357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45357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45357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45357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45357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45357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45357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45357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45357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45357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45357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45357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45357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45357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45357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45357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45357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45357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45357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45357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45357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45357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45357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45357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45357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45357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45357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45357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45357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45357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45357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45357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45357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45357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45357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45357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45357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45357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45357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45357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45357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45357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45357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45357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45357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45357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45357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45357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45357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45357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45357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45357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45357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45357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45357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45357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45357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45357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45357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45357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45357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45357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45357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45357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45357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45357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45357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45357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45357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45357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45357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45357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45357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45357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45357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45357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45357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45357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45357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45357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45357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45357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45357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45357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45357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45357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45357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45357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45357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45357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45357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45357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45357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45357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45357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45357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45357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45357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45357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45357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45357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45357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45357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45357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45357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45357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45357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45357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45357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45357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45357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45357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45357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45357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45357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45357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45357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45357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45357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45357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45357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45357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45357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45357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45357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45357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45357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45357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45357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45357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45357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45357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45357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45357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45357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45357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45357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45357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45357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45357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45357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45357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45357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45357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45357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45357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45357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45357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45357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45357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45357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45357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45357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45357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45357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45357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45357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45357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45357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45357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45357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45357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45357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45357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45357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45357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45357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45357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45357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45357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45357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45357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45357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45357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45357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45357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45357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45357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45357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45357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45357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45357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45357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45357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45357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45357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45357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45357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45357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45357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45357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45357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45357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45357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45357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45357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45357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45357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45357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45357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45357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45357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45357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45357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45357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45357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45357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45357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45357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45357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45357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45357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45357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45357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45357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45357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45357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45357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45357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45357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45357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45357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45357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45357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45357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45357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45357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45357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45357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45357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45357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45357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45357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45357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45357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45357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45357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45357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45357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45357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45357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45357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45357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45357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45357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45357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45357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45357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45357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45357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45357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45357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45357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45357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45357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45357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45357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45357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45357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45357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45357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45357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45357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45357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45357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45357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45357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45357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45357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45357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45357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45357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45357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45357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45357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45357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45357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45357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45357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45357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45357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45357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45357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45357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45357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45357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45357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45357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45357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45357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45357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45357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45357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45357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45357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45357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45357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45357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45357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45357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45357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45357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45357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45357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45357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45357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45357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45357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45357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45357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45357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45357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45357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45357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45357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45357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45357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45357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45357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45357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45357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45357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45357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45357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45357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45357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45357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45357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45357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45357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45357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45357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45357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45357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45357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45357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45357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45357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45357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45357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45357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45357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45357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45357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45357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45357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45357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45357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45357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45357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45357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45357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45357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45357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45357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45357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45357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45357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45357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45357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45357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45357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45357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45357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45357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45357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45357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45357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45357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45357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45357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45357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45357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45357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45357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45357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45357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45357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45357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45357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45357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45357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45357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45357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45357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45357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45357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45357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45357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45357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45357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45357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45357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45357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45357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45357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45357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45357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45357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45357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45357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45357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45357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45357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45357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45357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45357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45357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45357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45357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45357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45357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45357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45357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45357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45357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45357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45357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45357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45357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45357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45357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45357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45357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45357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45357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45357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45357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45357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45357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45357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45357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45357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45357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45357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45357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45357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45357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45357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45357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45357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45357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45357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45357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45357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45357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45357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45357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45357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45357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45357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45357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45357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45357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45357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45357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45357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45357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45357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45357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45357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45357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45357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45357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45357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45357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45357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45357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45357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45357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45357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45357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45357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45357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45357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45357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45357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45357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45357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45357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45357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45357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45357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45357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45357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45357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45357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45357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45357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45357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45357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45357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45357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45357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45357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45357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45357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45357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45357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45357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45357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45357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45357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45357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45357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45357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45357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45357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45357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45357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45357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45357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45357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45357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45357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45357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45357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45357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45357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45357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45357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45357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45357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45357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45357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45357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45357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45357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45357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45357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45357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45357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45357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45357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45357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45357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45357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45357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45357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45357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45357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45357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45357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45357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45357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45357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45357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45357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45357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45357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45357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45357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45357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45357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45357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45357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45357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45357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45357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45357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45357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45357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45357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45357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45357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45357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45357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45357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45357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45357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45357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45357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45357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45357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45357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45357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45357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45357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45357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2487-2024</t>
        </is>
      </c>
      <c r="B1271" s="1" t="n">
        <v>45313</v>
      </c>
      <c r="C1271" s="1" t="n">
        <v>45357</v>
      </c>
      <c r="D1271" t="inlineStr">
        <is>
          <t>BLEKINGE LÄN</t>
        </is>
      </c>
      <c r="E1271" t="inlineStr">
        <is>
          <t>KARLSKRONA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2491-2024</t>
        </is>
      </c>
      <c r="B1272" s="1" t="n">
        <v>45313</v>
      </c>
      <c r="C1272" s="1" t="n">
        <v>45357</v>
      </c>
      <c r="D1272" t="inlineStr">
        <is>
          <t>BLEKINGE LÄN</t>
        </is>
      </c>
      <c r="E1272" t="inlineStr">
        <is>
          <t>KARLSKRONA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2489-2024</t>
        </is>
      </c>
      <c r="B1273" s="1" t="n">
        <v>45313</v>
      </c>
      <c r="C1273" s="1" t="n">
        <v>45357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2826-2024</t>
        </is>
      </c>
      <c r="B1274" s="1" t="n">
        <v>45314</v>
      </c>
      <c r="C1274" s="1" t="n">
        <v>45357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2824-2024</t>
        </is>
      </c>
      <c r="B1275" s="1" t="n">
        <v>45314</v>
      </c>
      <c r="C1275" s="1" t="n">
        <v>45357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2828-2024</t>
        </is>
      </c>
      <c r="B1276" s="1" t="n">
        <v>45314</v>
      </c>
      <c r="C1276" s="1" t="n">
        <v>45357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3005-2024</t>
        </is>
      </c>
      <c r="B1277" s="1" t="n">
        <v>45315</v>
      </c>
      <c r="C1277" s="1" t="n">
        <v>45357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3013-2024</t>
        </is>
      </c>
      <c r="B1278" s="1" t="n">
        <v>45315</v>
      </c>
      <c r="C1278" s="1" t="n">
        <v>45357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3012-2024</t>
        </is>
      </c>
      <c r="B1279" s="1" t="n">
        <v>45315</v>
      </c>
      <c r="C1279" s="1" t="n">
        <v>45357</v>
      </c>
      <c r="D1279" t="inlineStr">
        <is>
          <t>BLEKINGE LÄN</t>
        </is>
      </c>
      <c r="E1279" t="inlineStr">
        <is>
          <t>KARLSKRONA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2999-2024</t>
        </is>
      </c>
      <c r="B1280" s="1" t="n">
        <v>45315</v>
      </c>
      <c r="C1280" s="1" t="n">
        <v>45357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3011-2024</t>
        </is>
      </c>
      <c r="B1281" s="1" t="n">
        <v>45315</v>
      </c>
      <c r="C1281" s="1" t="n">
        <v>45357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3321-2024</t>
        </is>
      </c>
      <c r="B1282" s="1" t="n">
        <v>45316</v>
      </c>
      <c r="C1282" s="1" t="n">
        <v>45357</v>
      </c>
      <c r="D1282" t="inlineStr">
        <is>
          <t>BLEKINGE LÄN</t>
        </is>
      </c>
      <c r="E1282" t="inlineStr">
        <is>
          <t>KARLSKRONA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3315-2024</t>
        </is>
      </c>
      <c r="B1283" s="1" t="n">
        <v>45316</v>
      </c>
      <c r="C1283" s="1" t="n">
        <v>45357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45357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4157-2024</t>
        </is>
      </c>
      <c r="B1285" s="1" t="n">
        <v>45323</v>
      </c>
      <c r="C1285" s="1" t="n">
        <v>45357</v>
      </c>
      <c r="D1285" t="inlineStr">
        <is>
          <t>BLEKINGE LÄN</t>
        </is>
      </c>
      <c r="E1285" t="inlineStr">
        <is>
          <t>KARLSKRONA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4156-2024</t>
        </is>
      </c>
      <c r="B1286" s="1" t="n">
        <v>45323</v>
      </c>
      <c r="C1286" s="1" t="n">
        <v>45357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4161-2024</t>
        </is>
      </c>
      <c r="B1287" s="1" t="n">
        <v>45323</v>
      </c>
      <c r="C1287" s="1" t="n">
        <v>45357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4286-2024</t>
        </is>
      </c>
      <c r="B1288" s="1" t="n">
        <v>45324</v>
      </c>
      <c r="C1288" s="1" t="n">
        <v>45357</v>
      </c>
      <c r="D1288" t="inlineStr">
        <is>
          <t>BLEKINGE LÄN</t>
        </is>
      </c>
      <c r="E1288" t="inlineStr">
        <is>
          <t>KARLSKRONA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4266-2024</t>
        </is>
      </c>
      <c r="B1289" s="1" t="n">
        <v>45324</v>
      </c>
      <c r="C1289" s="1" t="n">
        <v>45357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4269-2024</t>
        </is>
      </c>
      <c r="B1290" s="1" t="n">
        <v>45324</v>
      </c>
      <c r="C1290" s="1" t="n">
        <v>45357</v>
      </c>
      <c r="D1290" t="inlineStr">
        <is>
          <t>BLEKINGE LÄN</t>
        </is>
      </c>
      <c r="E1290" t="inlineStr">
        <is>
          <t>KARLSKRONA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4205-2024</t>
        </is>
      </c>
      <c r="B1291" s="1" t="n">
        <v>45324</v>
      </c>
      <c r="C1291" s="1" t="n">
        <v>45357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4455-2024</t>
        </is>
      </c>
      <c r="B1292" s="1" t="n">
        <v>45327</v>
      </c>
      <c r="C1292" s="1" t="n">
        <v>45357</v>
      </c>
      <c r="D1292" t="inlineStr">
        <is>
          <t>BLEKINGE LÄN</t>
        </is>
      </c>
      <c r="E1292" t="inlineStr">
        <is>
          <t>KARLSKRONA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4426-2024</t>
        </is>
      </c>
      <c r="B1293" s="1" t="n">
        <v>45327</v>
      </c>
      <c r="C1293" s="1" t="n">
        <v>45357</v>
      </c>
      <c r="D1293" t="inlineStr">
        <is>
          <t>BLEKINGE LÄN</t>
        </is>
      </c>
      <c r="E1293" t="inlineStr">
        <is>
          <t>KARLSKRONA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4700-2024</t>
        </is>
      </c>
      <c r="B1294" s="1" t="n">
        <v>45328</v>
      </c>
      <c r="C1294" s="1" t="n">
        <v>45357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4698-2024</t>
        </is>
      </c>
      <c r="B1295" s="1" t="n">
        <v>45328</v>
      </c>
      <c r="C1295" s="1" t="n">
        <v>45357</v>
      </c>
      <c r="D1295" t="inlineStr">
        <is>
          <t>BLEKINGE LÄN</t>
        </is>
      </c>
      <c r="E1295" t="inlineStr">
        <is>
          <t>KARLSKRONA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4800-2024</t>
        </is>
      </c>
      <c r="B1296" s="1" t="n">
        <v>45328</v>
      </c>
      <c r="C1296" s="1" t="n">
        <v>45357</v>
      </c>
      <c r="D1296" t="inlineStr">
        <is>
          <t>BLEKINGE LÄN</t>
        </is>
      </c>
      <c r="E1296" t="inlineStr">
        <is>
          <t>KARLSKRONA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45357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5138-2024</t>
        </is>
      </c>
      <c r="B1298" s="1" t="n">
        <v>45330</v>
      </c>
      <c r="C1298" s="1" t="n">
        <v>45357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5139-2024</t>
        </is>
      </c>
      <c r="B1299" s="1" t="n">
        <v>45330</v>
      </c>
      <c r="C1299" s="1" t="n">
        <v>45357</v>
      </c>
      <c r="D1299" t="inlineStr">
        <is>
          <t>BLEKINGE LÄN</t>
        </is>
      </c>
      <c r="E1299" t="inlineStr">
        <is>
          <t>KARLSKRONA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45357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45357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45357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5557-2024</t>
        </is>
      </c>
      <c r="B1303" s="1" t="n">
        <v>45334</v>
      </c>
      <c r="C1303" s="1" t="n">
        <v>45357</v>
      </c>
      <c r="D1303" t="inlineStr">
        <is>
          <t>BLEKINGE LÄN</t>
        </is>
      </c>
      <c r="E1303" t="inlineStr">
        <is>
          <t>KARLSKRONA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5567-2024</t>
        </is>
      </c>
      <c r="B1304" s="1" t="n">
        <v>45334</v>
      </c>
      <c r="C1304" s="1" t="n">
        <v>45357</v>
      </c>
      <c r="D1304" t="inlineStr">
        <is>
          <t>BLEKINGE LÄN</t>
        </is>
      </c>
      <c r="E1304" t="inlineStr">
        <is>
          <t>KARLSKRONA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5651-2024</t>
        </is>
      </c>
      <c r="B1305" s="1" t="n">
        <v>45334</v>
      </c>
      <c r="C1305" s="1" t="n">
        <v>45357</v>
      </c>
      <c r="D1305" t="inlineStr">
        <is>
          <t>BLEKINGE LÄN</t>
        </is>
      </c>
      <c r="E1305" t="inlineStr">
        <is>
          <t>KARLSKRONA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5556-2024</t>
        </is>
      </c>
      <c r="B1306" s="1" t="n">
        <v>45334</v>
      </c>
      <c r="C1306" s="1" t="n">
        <v>45357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5649-2024</t>
        </is>
      </c>
      <c r="B1307" s="1" t="n">
        <v>45334</v>
      </c>
      <c r="C1307" s="1" t="n">
        <v>45357</v>
      </c>
      <c r="D1307" t="inlineStr">
        <is>
          <t>BLEKINGE LÄN</t>
        </is>
      </c>
      <c r="E1307" t="inlineStr">
        <is>
          <t>KARLSKRONA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5716-2024</t>
        </is>
      </c>
      <c r="B1308" s="1" t="n">
        <v>45334</v>
      </c>
      <c r="C1308" s="1" t="n">
        <v>45357</v>
      </c>
      <c r="D1308" t="inlineStr">
        <is>
          <t>BLEKINGE LÄN</t>
        </is>
      </c>
      <c r="E1308" t="inlineStr">
        <is>
          <t>KARLSKRONA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5717-2024</t>
        </is>
      </c>
      <c r="B1309" s="1" t="n">
        <v>45334</v>
      </c>
      <c r="C1309" s="1" t="n">
        <v>45357</v>
      </c>
      <c r="D1309" t="inlineStr">
        <is>
          <t>BLEKINGE LÄN</t>
        </is>
      </c>
      <c r="E1309" t="inlineStr">
        <is>
          <t>KARLSKRONA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5962-2024</t>
        </is>
      </c>
      <c r="B1310" s="1" t="n">
        <v>45335</v>
      </c>
      <c r="C1310" s="1" t="n">
        <v>45357</v>
      </c>
      <c r="D1310" t="inlineStr">
        <is>
          <t>BLEKINGE LÄN</t>
        </is>
      </c>
      <c r="E1310" t="inlineStr">
        <is>
          <t>KARLSKRONA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5964-2024</t>
        </is>
      </c>
      <c r="B1311" s="1" t="n">
        <v>45335</v>
      </c>
      <c r="C1311" s="1" t="n">
        <v>45357</v>
      </c>
      <c r="D1311" t="inlineStr">
        <is>
          <t>BLEKINGE LÄN</t>
        </is>
      </c>
      <c r="E1311" t="inlineStr">
        <is>
          <t>KARLSKRONA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5979-2024</t>
        </is>
      </c>
      <c r="B1312" s="1" t="n">
        <v>45336</v>
      </c>
      <c r="C1312" s="1" t="n">
        <v>45357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6046-2024</t>
        </is>
      </c>
      <c r="B1313" s="1" t="n">
        <v>45336</v>
      </c>
      <c r="C1313" s="1" t="n">
        <v>45357</v>
      </c>
      <c r="D1313" t="inlineStr">
        <is>
          <t>BLEKINGE LÄN</t>
        </is>
      </c>
      <c r="E1313" t="inlineStr">
        <is>
          <t>KARLSKRONA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6011-2024</t>
        </is>
      </c>
      <c r="B1314" s="1" t="n">
        <v>45336</v>
      </c>
      <c r="C1314" s="1" t="n">
        <v>45357</v>
      </c>
      <c r="D1314" t="inlineStr">
        <is>
          <t>BLEKINGE LÄN</t>
        </is>
      </c>
      <c r="E1314" t="inlineStr">
        <is>
          <t>KARLSKRONA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6525-2024</t>
        </is>
      </c>
      <c r="B1315" s="1" t="n">
        <v>45339</v>
      </c>
      <c r="C1315" s="1" t="n">
        <v>45357</v>
      </c>
      <c r="D1315" t="inlineStr">
        <is>
          <t>BLEKINGE LÄN</t>
        </is>
      </c>
      <c r="E1315" t="inlineStr">
        <is>
          <t>KARLSKRONA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6524-2024</t>
        </is>
      </c>
      <c r="B1316" s="1" t="n">
        <v>45339</v>
      </c>
      <c r="C1316" s="1" t="n">
        <v>45357</v>
      </c>
      <c r="D1316" t="inlineStr">
        <is>
          <t>BLEKINGE LÄN</t>
        </is>
      </c>
      <c r="E1316" t="inlineStr">
        <is>
          <t>KARLSKRONA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6509-2024</t>
        </is>
      </c>
      <c r="B1317" s="1" t="n">
        <v>45340</v>
      </c>
      <c r="C1317" s="1" t="n">
        <v>45357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6855-2024</t>
        </is>
      </c>
      <c r="B1318" s="1" t="n">
        <v>45342</v>
      </c>
      <c r="C1318" s="1" t="n">
        <v>45357</v>
      </c>
      <c r="D1318" t="inlineStr">
        <is>
          <t>BLEKINGE LÄN</t>
        </is>
      </c>
      <c r="E1318" t="inlineStr">
        <is>
          <t>KARLSKRONA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6852-2024</t>
        </is>
      </c>
      <c r="B1319" s="1" t="n">
        <v>45342</v>
      </c>
      <c r="C1319" s="1" t="n">
        <v>45357</v>
      </c>
      <c r="D1319" t="inlineStr">
        <is>
          <t>BLEKINGE LÄN</t>
        </is>
      </c>
      <c r="E1319" t="inlineStr">
        <is>
          <t>KARLSKRONA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6887-2024</t>
        </is>
      </c>
      <c r="B1320" s="1" t="n">
        <v>45342</v>
      </c>
      <c r="C1320" s="1" t="n">
        <v>45357</v>
      </c>
      <c r="D1320" t="inlineStr">
        <is>
          <t>BLEKINGE LÄN</t>
        </is>
      </c>
      <c r="E1320" t="inlineStr">
        <is>
          <t>KARLSKRONA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6888-2024</t>
        </is>
      </c>
      <c r="B1321" s="1" t="n">
        <v>45342</v>
      </c>
      <c r="C1321" s="1" t="n">
        <v>45357</v>
      </c>
      <c r="D1321" t="inlineStr">
        <is>
          <t>BLEKINGE LÄN</t>
        </is>
      </c>
      <c r="E1321" t="inlineStr">
        <is>
          <t>KARLSKRONA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6861-2024</t>
        </is>
      </c>
      <c r="B1322" s="1" t="n">
        <v>45342</v>
      </c>
      <c r="C1322" s="1" t="n">
        <v>45357</v>
      </c>
      <c r="D1322" t="inlineStr">
        <is>
          <t>BLEKINGE LÄN</t>
        </is>
      </c>
      <c r="E1322" t="inlineStr">
        <is>
          <t>KARLSKRONA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6967-2024</t>
        </is>
      </c>
      <c r="B1323" s="1" t="n">
        <v>45343</v>
      </c>
      <c r="C1323" s="1" t="n">
        <v>45357</v>
      </c>
      <c r="D1323" t="inlineStr">
        <is>
          <t>BLEKINGE LÄN</t>
        </is>
      </c>
      <c r="E1323" t="inlineStr">
        <is>
          <t>KARLSKRONA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7014-2024</t>
        </is>
      </c>
      <c r="B1324" s="1" t="n">
        <v>45343</v>
      </c>
      <c r="C1324" s="1" t="n">
        <v>45357</v>
      </c>
      <c r="D1324" t="inlineStr">
        <is>
          <t>BLEKINGE LÄN</t>
        </is>
      </c>
      <c r="E1324" t="inlineStr">
        <is>
          <t>KARLSKRONA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6992-2024</t>
        </is>
      </c>
      <c r="B1325" s="1" t="n">
        <v>45343</v>
      </c>
      <c r="C1325" s="1" t="n">
        <v>45357</v>
      </c>
      <c r="D1325" t="inlineStr">
        <is>
          <t>BLEKINGE LÄN</t>
        </is>
      </c>
      <c r="E1325" t="inlineStr">
        <is>
          <t>KARLSKRONA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7117-2024</t>
        </is>
      </c>
      <c r="B1326" s="1" t="n">
        <v>45344</v>
      </c>
      <c r="C1326" s="1" t="n">
        <v>45357</v>
      </c>
      <c r="D1326" t="inlineStr">
        <is>
          <t>BLEKINGE LÄN</t>
        </is>
      </c>
      <c r="E1326" t="inlineStr">
        <is>
          <t>KARLSKRONA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7129-2024</t>
        </is>
      </c>
      <c r="B1327" s="1" t="n">
        <v>45344</v>
      </c>
      <c r="C1327" s="1" t="n">
        <v>45357</v>
      </c>
      <c r="D1327" t="inlineStr">
        <is>
          <t>BLEKINGE LÄN</t>
        </is>
      </c>
      <c r="E1327" t="inlineStr">
        <is>
          <t>KARLSKRONA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7252-2024</t>
        </is>
      </c>
      <c r="B1328" s="1" t="n">
        <v>45344</v>
      </c>
      <c r="C1328" s="1" t="n">
        <v>45357</v>
      </c>
      <c r="D1328" t="inlineStr">
        <is>
          <t>BLEKINGE LÄN</t>
        </is>
      </c>
      <c r="E1328" t="inlineStr">
        <is>
          <t>KARLSKRONA</t>
        </is>
      </c>
      <c r="F1328" t="inlineStr">
        <is>
          <t>Kommuner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7119-2024</t>
        </is>
      </c>
      <c r="B1329" s="1" t="n">
        <v>45344</v>
      </c>
      <c r="C1329" s="1" t="n">
        <v>45357</v>
      </c>
      <c r="D1329" t="inlineStr">
        <is>
          <t>BLEKINGE LÄN</t>
        </is>
      </c>
      <c r="E1329" t="inlineStr">
        <is>
          <t>KARLSKRONA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7566-2024</t>
        </is>
      </c>
      <c r="B1330" s="1" t="n">
        <v>45346</v>
      </c>
      <c r="C1330" s="1" t="n">
        <v>45357</v>
      </c>
      <c r="D1330" t="inlineStr">
        <is>
          <t>BLEKINGE LÄN</t>
        </is>
      </c>
      <c r="E1330" t="inlineStr">
        <is>
          <t>KARLSKRONA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7594-2024</t>
        </is>
      </c>
      <c r="B1331" s="1" t="n">
        <v>45348</v>
      </c>
      <c r="C1331" s="1" t="n">
        <v>45357</v>
      </c>
      <c r="D1331" t="inlineStr">
        <is>
          <t>BLEKINGE LÄN</t>
        </is>
      </c>
      <c r="E1331" t="inlineStr">
        <is>
          <t>KARLSKRONA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7595-2024</t>
        </is>
      </c>
      <c r="B1332" s="1" t="n">
        <v>45348</v>
      </c>
      <c r="C1332" s="1" t="n">
        <v>45357</v>
      </c>
      <c r="D1332" t="inlineStr">
        <is>
          <t>BLEKINGE LÄN</t>
        </is>
      </c>
      <c r="E1332" t="inlineStr">
        <is>
          <t>KARLSKRONA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7524-2024</t>
        </is>
      </c>
      <c r="B1333" s="1" t="n">
        <v>45348</v>
      </c>
      <c r="C1333" s="1" t="n">
        <v>45357</v>
      </c>
      <c r="D1333" t="inlineStr">
        <is>
          <t>BLEKINGE LÄN</t>
        </is>
      </c>
      <c r="E1333" t="inlineStr">
        <is>
          <t>KARLSKRONA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7596-2024</t>
        </is>
      </c>
      <c r="B1334" s="1" t="n">
        <v>45348</v>
      </c>
      <c r="C1334" s="1" t="n">
        <v>45357</v>
      </c>
      <c r="D1334" t="inlineStr">
        <is>
          <t>BLEKINGE LÄN</t>
        </is>
      </c>
      <c r="E1334" t="inlineStr">
        <is>
          <t>KARLSKRONA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7600-2024</t>
        </is>
      </c>
      <c r="B1335" s="1" t="n">
        <v>45348</v>
      </c>
      <c r="C1335" s="1" t="n">
        <v>45357</v>
      </c>
      <c r="D1335" t="inlineStr">
        <is>
          <t>BLEKINGE LÄN</t>
        </is>
      </c>
      <c r="E1335" t="inlineStr">
        <is>
          <t>KARLSKRONA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7748-2024</t>
        </is>
      </c>
      <c r="B1336" s="1" t="n">
        <v>45349</v>
      </c>
      <c r="C1336" s="1" t="n">
        <v>45357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7889-2024</t>
        </is>
      </c>
      <c r="B1337" s="1" t="n">
        <v>45350</v>
      </c>
      <c r="C1337" s="1" t="n">
        <v>45357</v>
      </c>
      <c r="D1337" t="inlineStr">
        <is>
          <t>BLEKINGE LÄN</t>
        </is>
      </c>
      <c r="E1337" t="inlineStr">
        <is>
          <t>KARLSKRONA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8011-2024</t>
        </is>
      </c>
      <c r="B1338" s="1" t="n">
        <v>45350</v>
      </c>
      <c r="C1338" s="1" t="n">
        <v>45357</v>
      </c>
      <c r="D1338" t="inlineStr">
        <is>
          <t>BLEKINGE LÄN</t>
        </is>
      </c>
      <c r="E1338" t="inlineStr">
        <is>
          <t>KARLSKRONA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8117-2024</t>
        </is>
      </c>
      <c r="B1339" s="1" t="n">
        <v>45351</v>
      </c>
      <c r="C1339" s="1" t="n">
        <v>45357</v>
      </c>
      <c r="D1339" t="inlineStr">
        <is>
          <t>BLEKINGE LÄN</t>
        </is>
      </c>
      <c r="E1339" t="inlineStr">
        <is>
          <t>KARLSKRONA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8197-2024</t>
        </is>
      </c>
      <c r="B1340" s="1" t="n">
        <v>45351</v>
      </c>
      <c r="C1340" s="1" t="n">
        <v>45357</v>
      </c>
      <c r="D1340" t="inlineStr">
        <is>
          <t>BLEKINGE LÄN</t>
        </is>
      </c>
      <c r="E1340" t="inlineStr">
        <is>
          <t>KARLSKRONA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2024-03-06T12:59:23Z</dcterms:created>
  <dcterms:modified xmlns:dcterms="http://purl.org/dc/terms/" xmlns:xsi="http://www.w3.org/2001/XMLSchema-instance" xsi:type="dcterms:W3CDTF">2024-03-06T12:59:24Z</dcterms:modified>
</cp:coreProperties>
</file>