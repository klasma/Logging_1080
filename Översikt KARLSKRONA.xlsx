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45875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45875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45875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45875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45875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45875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37482-2020</t>
        </is>
      </c>
      <c r="B8" s="1" t="n">
        <v>44055</v>
      </c>
      <c r="C8" s="1" t="n">
        <v>45875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Bredbrämad bastardsvärmare
Mindre bastardsvärmare</t>
        </is>
      </c>
      <c r="S8">
        <f>HYPERLINK("https://klasma.github.io/Logging_1080/artfynd/A 37482-2020 artfynd.xlsx", "A 37482-2020")</f>
        <v/>
      </c>
      <c r="T8">
        <f>HYPERLINK("https://klasma.github.io/Logging_1080/kartor/A 37482-2020 karta.png", "A 37482-2020")</f>
        <v/>
      </c>
      <c r="V8">
        <f>HYPERLINK("https://klasma.github.io/Logging_1080/klagomål/A 37482-2020 FSC-klagomål.docx", "A 37482-2020")</f>
        <v/>
      </c>
      <c r="W8">
        <f>HYPERLINK("https://klasma.github.io/Logging_1080/klagomålsmail/A 37482-2020 FSC-klagomål mail.docx", "A 37482-2020")</f>
        <v/>
      </c>
      <c r="X8">
        <f>HYPERLINK("https://klasma.github.io/Logging_1080/tillsyn/A 37482-2020 tillsynsbegäran.docx", "A 37482-2020")</f>
        <v/>
      </c>
      <c r="Y8">
        <f>HYPERLINK("https://klasma.github.io/Logging_1080/tillsynsmail/A 37482-2020 tillsynsbegäran mail.docx", "A 37482-2020")</f>
        <v/>
      </c>
    </row>
    <row r="9" ht="15" customHeight="1">
      <c r="A9" t="inlineStr">
        <is>
          <t>A 16176-2023</t>
        </is>
      </c>
      <c r="B9" s="1" t="n">
        <v>45027</v>
      </c>
      <c r="C9" s="1" t="n">
        <v>45875</v>
      </c>
      <c r="D9" t="inlineStr">
        <is>
          <t>BLEKINGE LÄN</t>
        </is>
      </c>
      <c r="E9" t="inlineStr">
        <is>
          <t>KARLSKRONA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Lönnlav</t>
        </is>
      </c>
      <c r="S9">
        <f>HYPERLINK("https://klasma.github.io/Logging_1080/artfynd/A 16176-2023 artfynd.xlsx", "A 16176-2023")</f>
        <v/>
      </c>
      <c r="T9">
        <f>HYPERLINK("https://klasma.github.io/Logging_1080/kartor/A 16176-2023 karta.png", "A 16176-2023")</f>
        <v/>
      </c>
      <c r="V9">
        <f>HYPERLINK("https://klasma.github.io/Logging_1080/klagomål/A 16176-2023 FSC-klagomål.docx", "A 16176-2023")</f>
        <v/>
      </c>
      <c r="W9">
        <f>HYPERLINK("https://klasma.github.io/Logging_1080/klagomålsmail/A 16176-2023 FSC-klagomål mail.docx", "A 16176-2023")</f>
        <v/>
      </c>
      <c r="X9">
        <f>HYPERLINK("https://klasma.github.io/Logging_1080/tillsyn/A 16176-2023 tillsynsbegäran.docx", "A 16176-2023")</f>
        <v/>
      </c>
      <c r="Y9">
        <f>HYPERLINK("https://klasma.github.io/Logging_1080/tillsynsmail/A 16176-2023 tillsynsbegäran mail.docx", "A 16176-2023")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45875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49495-2023</t>
        </is>
      </c>
      <c r="B11" s="1" t="n">
        <v>45211</v>
      </c>
      <c r="C11" s="1" t="n">
        <v>45875</v>
      </c>
      <c r="D11" t="inlineStr">
        <is>
          <t>BLEKINGE LÄN</t>
        </is>
      </c>
      <c r="E11" t="inlineStr">
        <is>
          <t>KARLSKRONA</t>
        </is>
      </c>
      <c r="G11" t="n">
        <v>6.1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Gropticka
Rödgul trumpetsvamp</t>
        </is>
      </c>
      <c r="S11">
        <f>HYPERLINK("https://klasma.github.io/Logging_1080/artfynd/A 49495-2023 artfynd.xlsx", "A 49495-2023")</f>
        <v/>
      </c>
      <c r="T11">
        <f>HYPERLINK("https://klasma.github.io/Logging_1080/kartor/A 49495-2023 karta.png", "A 49495-2023")</f>
        <v/>
      </c>
      <c r="V11">
        <f>HYPERLINK("https://klasma.github.io/Logging_1080/klagomål/A 49495-2023 FSC-klagomål.docx", "A 49495-2023")</f>
        <v/>
      </c>
      <c r="W11">
        <f>HYPERLINK("https://klasma.github.io/Logging_1080/klagomålsmail/A 49495-2023 FSC-klagomål mail.docx", "A 49495-2023")</f>
        <v/>
      </c>
      <c r="X11">
        <f>HYPERLINK("https://klasma.github.io/Logging_1080/tillsyn/A 49495-2023 tillsynsbegäran.docx", "A 49495-2023")</f>
        <v/>
      </c>
      <c r="Y11">
        <f>HYPERLINK("https://klasma.github.io/Logging_1080/tillsynsmail/A 49495-2023 tillsynsbegäran mail.docx", "A 49495-2023")</f>
        <v/>
      </c>
    </row>
    <row r="12" ht="15" customHeight="1">
      <c r="A12" t="inlineStr">
        <is>
          <t>A 51085-2024</t>
        </is>
      </c>
      <c r="B12" s="1" t="n">
        <v>45603</v>
      </c>
      <c r="C12" s="1" t="n">
        <v>45875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</v>
      </c>
      <c r="C13" s="1" t="n">
        <v>45875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HYPERLINK("https://klasma.github.io/Logging_101080/artfynd/A 29994-2025 artfynd.xlsx", "A 29994-2025")</f>
        <v/>
      </c>
      <c r="T13">
        <f>HYPERLINK("https://klasma.github.io/Logging_101080/kartor/A 29994-2025 karta.png", "A 29994-2025")</f>
        <v/>
      </c>
      <c r="V13">
        <f>HYPERLINK("https://klasma.github.io/Logging_101080/klagomål/A 29994-2025 FSC-klagomål.docx", "A 29994-2025")</f>
        <v/>
      </c>
      <c r="W13">
        <f>HYPERLINK("https://klasma.github.io/Logging_101080/klagomålsmail/A 29994-2025 FSC-klagomål mail.docx", "A 29994-2025")</f>
        <v/>
      </c>
      <c r="X13">
        <f>HYPERLINK("https://klasma.github.io/Logging_101080/tillsyn/A 29994-2025 tillsynsbegäran.docx", "A 29994-2025")</f>
        <v/>
      </c>
      <c r="Y13">
        <f>HYPERLINK("https://klasma.github.io/Logging_101080/tillsynsmail/A 29994-2025 tillsynsbegäran mail.docx", "A 29994-2025")</f>
        <v/>
      </c>
    </row>
    <row r="14" ht="15" customHeight="1">
      <c r="A14" t="inlineStr">
        <is>
          <t>A 14288-2020</t>
        </is>
      </c>
      <c r="B14" s="1" t="n">
        <v>43907</v>
      </c>
      <c r="C14" s="1" t="n">
        <v>45875</v>
      </c>
      <c r="D14" t="inlineStr">
        <is>
          <t>BLEKINGE LÄN</t>
        </is>
      </c>
      <c r="E14" t="inlineStr">
        <is>
          <t>KARLSKRONA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14288-2020 artfynd.xlsx", "A 14288-2020")</f>
        <v/>
      </c>
      <c r="T14">
        <f>HYPERLINK("https://klasma.github.io/Logging_1080/kartor/A 14288-2020 karta.png", "A 14288-2020")</f>
        <v/>
      </c>
      <c r="V14">
        <f>HYPERLINK("https://klasma.github.io/Logging_1080/klagomål/A 14288-2020 FSC-klagomål.docx", "A 14288-2020")</f>
        <v/>
      </c>
      <c r="W14">
        <f>HYPERLINK("https://klasma.github.io/Logging_1080/klagomålsmail/A 14288-2020 FSC-klagomål mail.docx", "A 14288-2020")</f>
        <v/>
      </c>
      <c r="X14">
        <f>HYPERLINK("https://klasma.github.io/Logging_1080/tillsyn/A 14288-2020 tillsynsbegäran.docx", "A 14288-2020")</f>
        <v/>
      </c>
      <c r="Y14">
        <f>HYPERLINK("https://klasma.github.io/Logging_1080/tillsynsmail/A 14288-2020 tillsynsbegäran mail.docx", "A 14288-2020")</f>
        <v/>
      </c>
    </row>
    <row r="15" ht="15" customHeight="1">
      <c r="A15" t="inlineStr">
        <is>
          <t>A 22438-2020</t>
        </is>
      </c>
      <c r="B15" s="1" t="n">
        <v>43963</v>
      </c>
      <c r="C15" s="1" t="n">
        <v>45875</v>
      </c>
      <c r="D15" t="inlineStr">
        <is>
          <t>BLEKINGE LÄN</t>
        </is>
      </c>
      <c r="E15" t="inlineStr">
        <is>
          <t>KARLSKRONA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HYPERLINK("https://klasma.github.io/Logging_1080/artfynd/A 22438-2020 artfynd.xlsx", "A 22438-2020")</f>
        <v/>
      </c>
      <c r="T15">
        <f>HYPERLINK("https://klasma.github.io/Logging_1080/kartor/A 22438-2020 karta.png", "A 22438-2020")</f>
        <v/>
      </c>
      <c r="V15">
        <f>HYPERLINK("https://klasma.github.io/Logging_1080/klagomål/A 22438-2020 FSC-klagomål.docx", "A 22438-2020")</f>
        <v/>
      </c>
      <c r="W15">
        <f>HYPERLINK("https://klasma.github.io/Logging_1080/klagomålsmail/A 22438-2020 FSC-klagomål mail.docx", "A 22438-2020")</f>
        <v/>
      </c>
      <c r="X15">
        <f>HYPERLINK("https://klasma.github.io/Logging_1080/tillsyn/A 22438-2020 tillsynsbegäran.docx", "A 22438-2020")</f>
        <v/>
      </c>
      <c r="Y15">
        <f>HYPERLINK("https://klasma.github.io/Logging_1080/tillsynsmail/A 22438-2020 tillsynsbegäran mail.docx", "A 22438-2020")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45875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45875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45875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45875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45875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45875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45875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45875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45875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45875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45875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45875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45875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1691-2024</t>
        </is>
      </c>
      <c r="B29" s="1" t="n">
        <v>45306</v>
      </c>
      <c r="C29" s="1" t="n">
        <v>45875</v>
      </c>
      <c r="D29" t="inlineStr">
        <is>
          <t>BLEKINGE LÄN</t>
        </is>
      </c>
      <c r="E29" t="inlineStr">
        <is>
          <t>KARLSKRONA</t>
        </is>
      </c>
      <c r="G29" t="n">
        <v>8.800000000000001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HYPERLINK("https://klasma.github.io/Logging_1080/artfynd/A 1691-2024 artfynd.xlsx", "A 1691-2024")</f>
        <v/>
      </c>
      <c r="T29">
        <f>HYPERLINK("https://klasma.github.io/Logging_1080/kartor/A 1691-2024 karta.png", "A 1691-2024")</f>
        <v/>
      </c>
      <c r="V29">
        <f>HYPERLINK("https://klasma.github.io/Logging_1080/klagomål/A 1691-2024 FSC-klagomål.docx", "A 1691-2024")</f>
        <v/>
      </c>
      <c r="W29">
        <f>HYPERLINK("https://klasma.github.io/Logging_1080/klagomålsmail/A 1691-2024 FSC-klagomål mail.docx", "A 1691-2024")</f>
        <v/>
      </c>
      <c r="X29">
        <f>HYPERLINK("https://klasma.github.io/Logging_1080/tillsyn/A 1691-2024 tillsynsbegäran.docx", "A 1691-2024")</f>
        <v/>
      </c>
      <c r="Y29">
        <f>HYPERLINK("https://klasma.github.io/Logging_1080/tillsynsmail/A 1691-2024 tillsynsbegäran mail.docx", "A 1691-2024")</f>
        <v/>
      </c>
      <c r="Z29">
        <f>HYPERLINK("https://klasma.github.io/Logging_1080/fåglar/A 1691-2024 prioriterade fågelarter.docx", "A 1691-2024")</f>
        <v/>
      </c>
    </row>
    <row r="30" ht="15" customHeight="1">
      <c r="A30" t="inlineStr">
        <is>
          <t>A 6221-2024</t>
        </is>
      </c>
      <c r="B30" s="1" t="n">
        <v>45337</v>
      </c>
      <c r="C30" s="1" t="n">
        <v>45875</v>
      </c>
      <c r="D30" t="inlineStr">
        <is>
          <t>BLEKINGE LÄN</t>
        </is>
      </c>
      <c r="E30" t="inlineStr">
        <is>
          <t>KARLSKRONA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6221-2024 artfynd.xlsx", "A 6221-2024")</f>
        <v/>
      </c>
      <c r="T30">
        <f>HYPERLINK("https://klasma.github.io/Logging_1080/kartor/A 6221-2024 karta.png", "A 6221-2024")</f>
        <v/>
      </c>
      <c r="V30">
        <f>HYPERLINK("https://klasma.github.io/Logging_1080/klagomål/A 6221-2024 FSC-klagomål.docx", "A 6221-2024")</f>
        <v/>
      </c>
      <c r="W30">
        <f>HYPERLINK("https://klasma.github.io/Logging_1080/klagomålsmail/A 6221-2024 FSC-klagomål mail.docx", "A 6221-2024")</f>
        <v/>
      </c>
      <c r="X30">
        <f>HYPERLINK("https://klasma.github.io/Logging_1080/tillsyn/A 6221-2024 tillsynsbegäran.docx", "A 6221-2024")</f>
        <v/>
      </c>
      <c r="Y30">
        <f>HYPERLINK("https://klasma.github.io/Logging_1080/tillsynsmail/A 6221-2024 tillsynsbegäran mail.docx", "A 6221-2024")</f>
        <v/>
      </c>
    </row>
    <row r="31" ht="15" customHeight="1">
      <c r="A31" t="inlineStr">
        <is>
          <t>A 10602-2024</t>
        </is>
      </c>
      <c r="B31" s="1" t="n">
        <v>45366</v>
      </c>
      <c r="C31" s="1" t="n">
        <v>45875</v>
      </c>
      <c r="D31" t="inlineStr">
        <is>
          <t>BLEKINGE LÄN</t>
        </is>
      </c>
      <c r="E31" t="inlineStr">
        <is>
          <t>KARLSKRONA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HYPERLINK("https://klasma.github.io/Logging_1080/artfynd/A 10602-2024 artfynd.xlsx", "A 10602-2024")</f>
        <v/>
      </c>
      <c r="T31">
        <f>HYPERLINK("https://klasma.github.io/Logging_1080/kartor/A 10602-2024 karta.png", "A 10602-2024")</f>
        <v/>
      </c>
      <c r="V31">
        <f>HYPERLINK("https://klasma.github.io/Logging_1080/klagomål/A 10602-2024 FSC-klagomål.docx", "A 10602-2024")</f>
        <v/>
      </c>
      <c r="W31">
        <f>HYPERLINK("https://klasma.github.io/Logging_1080/klagomålsmail/A 10602-2024 FSC-klagomål mail.docx", "A 10602-2024")</f>
        <v/>
      </c>
      <c r="X31">
        <f>HYPERLINK("https://klasma.github.io/Logging_1080/tillsyn/A 10602-2024 tillsynsbegäran.docx", "A 10602-2024")</f>
        <v/>
      </c>
      <c r="Y31">
        <f>HYPERLINK("https://klasma.github.io/Logging_1080/tillsynsmail/A 10602-2024 tillsynsbegäran mail.docx", "A 10602-2024")</f>
        <v/>
      </c>
    </row>
    <row r="32" ht="15" customHeight="1">
      <c r="A32" t="inlineStr">
        <is>
          <t>A 13355-2024</t>
        </is>
      </c>
      <c r="B32" s="1" t="n">
        <v>45387</v>
      </c>
      <c r="C32" s="1" t="n">
        <v>45875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HYPERLINK("https://klasma.github.io/Logging_1080/artfynd/A 13355-2024 artfynd.xlsx", "A 13355-2024")</f>
        <v/>
      </c>
      <c r="T32">
        <f>HYPERLINK("https://klasma.github.io/Logging_1080/kartor/A 13355-2024 karta.png", "A 13355-2024")</f>
        <v/>
      </c>
      <c r="V32">
        <f>HYPERLINK("https://klasma.github.io/Logging_1080/klagomål/A 13355-2024 FSC-klagomål.docx", "A 13355-2024")</f>
        <v/>
      </c>
      <c r="W32">
        <f>HYPERLINK("https://klasma.github.io/Logging_1080/klagomålsmail/A 13355-2024 FSC-klagomål mail.docx", "A 13355-2024")</f>
        <v/>
      </c>
      <c r="X32">
        <f>HYPERLINK("https://klasma.github.io/Logging_1080/tillsyn/A 13355-2024 tillsynsbegäran.docx", "A 13355-2024")</f>
        <v/>
      </c>
      <c r="Y32">
        <f>HYPERLINK("https://klasma.github.io/Logging_1080/tillsynsmail/A 13355-2024 tillsynsbegäran mail.docx", "A 13355-2024")</f>
        <v/>
      </c>
    </row>
    <row r="33" ht="15" customHeight="1">
      <c r="A33" t="inlineStr">
        <is>
          <t>A 15382-2024</t>
        </is>
      </c>
      <c r="B33" s="1" t="n">
        <v>45400</v>
      </c>
      <c r="C33" s="1" t="n">
        <v>45875</v>
      </c>
      <c r="D33" t="inlineStr">
        <is>
          <t>BLEKINGE LÄN</t>
        </is>
      </c>
      <c r="E33" t="inlineStr">
        <is>
          <t>KARLSKRONA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HYPERLINK("https://klasma.github.io/Logging_1080/artfynd/A 15382-2024 artfynd.xlsx", "A 15382-2024")</f>
        <v/>
      </c>
      <c r="T33">
        <f>HYPERLINK("https://klasma.github.io/Logging_1080/kartor/A 15382-2024 karta.png", "A 15382-2024")</f>
        <v/>
      </c>
      <c r="V33">
        <f>HYPERLINK("https://klasma.github.io/Logging_1080/klagomål/A 15382-2024 FSC-klagomål.docx", "A 15382-2024")</f>
        <v/>
      </c>
      <c r="W33">
        <f>HYPERLINK("https://klasma.github.io/Logging_1080/klagomålsmail/A 15382-2024 FSC-klagomål mail.docx", "A 15382-2024")</f>
        <v/>
      </c>
      <c r="X33">
        <f>HYPERLINK("https://klasma.github.io/Logging_1080/tillsyn/A 15382-2024 tillsynsbegäran.docx", "A 15382-2024")</f>
        <v/>
      </c>
      <c r="Y33">
        <f>HYPERLINK("https://klasma.github.io/Logging_1080/tillsynsmail/A 15382-2024 tillsynsbegäran mail.docx", "A 15382-2024")</f>
        <v/>
      </c>
    </row>
    <row r="34" ht="15" customHeight="1">
      <c r="A34" t="inlineStr">
        <is>
          <t>A 37707-2024</t>
        </is>
      </c>
      <c r="B34" s="1" t="n">
        <v>45541</v>
      </c>
      <c r="C34" s="1" t="n">
        <v>45875</v>
      </c>
      <c r="D34" t="inlineStr">
        <is>
          <t>BLEKINGE LÄN</t>
        </is>
      </c>
      <c r="E34" t="inlineStr">
        <is>
          <t>KARLSKRONA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37707-2024 artfynd.xlsx", "A 37707-2024")</f>
        <v/>
      </c>
      <c r="T34">
        <f>HYPERLINK("https://klasma.github.io/Logging_1080/kartor/A 37707-2024 karta.png", "A 37707-2024")</f>
        <v/>
      </c>
      <c r="V34">
        <f>HYPERLINK("https://klasma.github.io/Logging_1080/klagomål/A 37707-2024 FSC-klagomål.docx", "A 37707-2024")</f>
        <v/>
      </c>
      <c r="W34">
        <f>HYPERLINK("https://klasma.github.io/Logging_1080/klagomålsmail/A 37707-2024 FSC-klagomål mail.docx", "A 37707-2024")</f>
        <v/>
      </c>
      <c r="X34">
        <f>HYPERLINK("https://klasma.github.io/Logging_1080/tillsyn/A 37707-2024 tillsynsbegäran.docx", "A 37707-2024")</f>
        <v/>
      </c>
      <c r="Y34">
        <f>HYPERLINK("https://klasma.github.io/Logging_1080/tillsynsmail/A 37707-2024 tillsynsbegäran mail.docx", "A 37707-2024")</f>
        <v/>
      </c>
    </row>
    <row r="35" ht="15" customHeight="1">
      <c r="A35" t="inlineStr">
        <is>
          <t>A 45591-2024</t>
        </is>
      </c>
      <c r="B35" s="1" t="n">
        <v>45579</v>
      </c>
      <c r="C35" s="1" t="n">
        <v>45875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HYPERLINK("https://klasma.github.io/Logging_1080/artfynd/A 45591-2024 artfynd.xlsx", "A 45591-2024")</f>
        <v/>
      </c>
      <c r="T35">
        <f>HYPERLINK("https://klasma.github.io/Logging_1080/kartor/A 45591-2024 karta.png", "A 45591-2024")</f>
        <v/>
      </c>
      <c r="V35">
        <f>HYPERLINK("https://klasma.github.io/Logging_1080/klagomål/A 45591-2024 FSC-klagomål.docx", "A 45591-2024")</f>
        <v/>
      </c>
      <c r="W35">
        <f>HYPERLINK("https://klasma.github.io/Logging_1080/klagomålsmail/A 45591-2024 FSC-klagomål mail.docx", "A 45591-2024")</f>
        <v/>
      </c>
      <c r="X35">
        <f>HYPERLINK("https://klasma.github.io/Logging_1080/tillsyn/A 45591-2024 tillsynsbegäran.docx", "A 45591-2024")</f>
        <v/>
      </c>
      <c r="Y35">
        <f>HYPERLINK("https://klasma.github.io/Logging_1080/tillsynsmail/A 45591-2024 tillsynsbegäran mail.docx", "A 45591-2024")</f>
        <v/>
      </c>
    </row>
    <row r="36" ht="15" customHeight="1">
      <c r="A36" t="inlineStr">
        <is>
          <t>A 55665-2024</t>
        </is>
      </c>
      <c r="B36" s="1" t="n">
        <v>45622</v>
      </c>
      <c r="C36" s="1" t="n">
        <v>45875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Dvärglin</t>
        </is>
      </c>
      <c r="S36">
        <f>HYPERLINK("https://klasma.github.io/Logging_1080/artfynd/A 55665-2024 artfynd.xlsx", "A 55665-2024")</f>
        <v/>
      </c>
      <c r="T36">
        <f>HYPERLINK("https://klasma.github.io/Logging_1080/kartor/A 55665-2024 karta.png", "A 55665-2024")</f>
        <v/>
      </c>
      <c r="V36">
        <f>HYPERLINK("https://klasma.github.io/Logging_1080/klagomål/A 55665-2024 FSC-klagomål.docx", "A 55665-2024")</f>
        <v/>
      </c>
      <c r="W36">
        <f>HYPERLINK("https://klasma.github.io/Logging_1080/klagomålsmail/A 55665-2024 FSC-klagomål mail.docx", "A 55665-2024")</f>
        <v/>
      </c>
      <c r="X36">
        <f>HYPERLINK("https://klasma.github.io/Logging_1080/tillsyn/A 55665-2024 tillsynsbegäran.docx", "A 55665-2024")</f>
        <v/>
      </c>
      <c r="Y36">
        <f>HYPERLINK("https://klasma.github.io/Logging_1080/tillsynsmail/A 55665-2024 tillsynsbegäran mail.docx", "A 55665-2024")</f>
        <v/>
      </c>
    </row>
    <row r="37" ht="15" customHeight="1">
      <c r="A37" t="inlineStr">
        <is>
          <t>A 26603-2025</t>
        </is>
      </c>
      <c r="B37" s="1" t="n">
        <v>45809</v>
      </c>
      <c r="C37" s="1" t="n">
        <v>45875</v>
      </c>
      <c r="D37" t="inlineStr">
        <is>
          <t>BLEKINGE LÄN</t>
        </is>
      </c>
      <c r="E37" t="inlineStr">
        <is>
          <t>KARLSKRONA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Långbensgroda</t>
        </is>
      </c>
      <c r="S37">
        <f>HYPERLINK("https://klasma.github.io/Logging_101080/artfynd/A 26603-2025 artfynd.xlsx", "A 26603-2025")</f>
        <v/>
      </c>
      <c r="T37">
        <f>HYPERLINK("https://klasma.github.io/Logging_101080/kartor/A 26603-2025 karta.png", "A 26603-2025")</f>
        <v/>
      </c>
      <c r="V37">
        <f>HYPERLINK("https://klasma.github.io/Logging_101080/klagomål/A 26603-2025 FSC-klagomål.docx", "A 26603-2025")</f>
        <v/>
      </c>
      <c r="W37">
        <f>HYPERLINK("https://klasma.github.io/Logging_101080/klagomålsmail/A 26603-2025 FSC-klagomål mail.docx", "A 26603-2025")</f>
        <v/>
      </c>
      <c r="X37">
        <f>HYPERLINK("https://klasma.github.io/Logging_101080/tillsyn/A 26603-2025 tillsynsbegäran.docx", "A 26603-2025")</f>
        <v/>
      </c>
      <c r="Y37">
        <f>HYPERLINK("https://klasma.github.io/Logging_101080/tillsynsmail/A 26603-2025 tillsynsbegäran mail.docx", "A 26603-2025")</f>
        <v/>
      </c>
    </row>
    <row r="38" ht="15" customHeight="1">
      <c r="A38" t="inlineStr">
        <is>
          <t>A 29985-2025</t>
        </is>
      </c>
      <c r="B38" s="1" t="n">
        <v>45826</v>
      </c>
      <c r="C38" s="1" t="n">
        <v>45875</v>
      </c>
      <c r="D38" t="inlineStr">
        <is>
          <t>BLEKINGE LÄN</t>
        </is>
      </c>
      <c r="E38" t="inlineStr">
        <is>
          <t>KARLSKRONA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HYPERLINK("https://klasma.github.io/Logging_101080/artfynd/A 29985-2025 artfynd.xlsx", "A 29985-2025")</f>
        <v/>
      </c>
      <c r="T38">
        <f>HYPERLINK("https://klasma.github.io/Logging_101080/kartor/A 29985-2025 karta.png", "A 29985-2025")</f>
        <v/>
      </c>
      <c r="V38">
        <f>HYPERLINK("https://klasma.github.io/Logging_101080/klagomål/A 29985-2025 FSC-klagomål.docx", "A 29985-2025")</f>
        <v/>
      </c>
      <c r="W38">
        <f>HYPERLINK("https://klasma.github.io/Logging_101080/klagomålsmail/A 29985-2025 FSC-klagomål mail.docx", "A 29985-2025")</f>
        <v/>
      </c>
      <c r="X38">
        <f>HYPERLINK("https://klasma.github.io/Logging_101080/tillsyn/A 29985-2025 tillsynsbegäran.docx", "A 29985-2025")</f>
        <v/>
      </c>
      <c r="Y38">
        <f>HYPERLINK("https://klasma.github.io/Logging_101080/tillsynsmail/A 29985-2025 tillsynsbegäran mail.docx", "A 29985-2025")</f>
        <v/>
      </c>
    </row>
    <row r="39" ht="15" customHeight="1">
      <c r="A39" t="inlineStr">
        <is>
          <t>A 19762-2019</t>
        </is>
      </c>
      <c r="B39" s="1" t="n">
        <v>43567</v>
      </c>
      <c r="C39" s="1" t="n">
        <v>45875</v>
      </c>
      <c r="D39" t="inlineStr">
        <is>
          <t>BLEKINGE LÄN</t>
        </is>
      </c>
      <c r="E39" t="inlineStr">
        <is>
          <t>KARLSKRONA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19765-2019</t>
        </is>
      </c>
      <c r="B40" s="1" t="n">
        <v>43567</v>
      </c>
      <c r="C40" s="1" t="n">
        <v>45875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20258-2019</t>
        </is>
      </c>
      <c r="B41" s="1" t="n">
        <v>43571</v>
      </c>
      <c r="C41" s="1" t="n">
        <v>45875</v>
      </c>
      <c r="D41" t="inlineStr">
        <is>
          <t>BLEKINGE LÄN</t>
        </is>
      </c>
      <c r="E41" t="inlineStr">
        <is>
          <t>KARLSKRONA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20576-2019</t>
        </is>
      </c>
      <c r="B42" s="1" t="n">
        <v>43572</v>
      </c>
      <c r="C42" s="1" t="n">
        <v>45875</v>
      </c>
      <c r="D42" t="inlineStr">
        <is>
          <t>BLEKINGE LÄN</t>
        </is>
      </c>
      <c r="E42" t="inlineStr">
        <is>
          <t>KARLSKRONA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20704-2019</t>
        </is>
      </c>
      <c r="B43" s="1" t="n">
        <v>43573</v>
      </c>
      <c r="C43" s="1" t="n">
        <v>45875</v>
      </c>
      <c r="D43" t="inlineStr">
        <is>
          <t>BLEKINGE LÄN</t>
        </is>
      </c>
      <c r="E43" t="inlineStr">
        <is>
          <t>KARLSKRONA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21386-2019</t>
        </is>
      </c>
      <c r="B44" s="1" t="n">
        <v>43580</v>
      </c>
      <c r="C44" s="1" t="n">
        <v>45875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22031-2019</t>
        </is>
      </c>
      <c r="B45" s="1" t="n">
        <v>43584</v>
      </c>
      <c r="C45" s="1" t="n">
        <v>45875</v>
      </c>
      <c r="D45" t="inlineStr">
        <is>
          <t>BLEKINGE LÄN</t>
        </is>
      </c>
      <c r="E45" t="inlineStr">
        <is>
          <t>KARLSKRONA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22470-2019</t>
        </is>
      </c>
      <c r="B46" s="1" t="n">
        <v>43587</v>
      </c>
      <c r="C46" s="1" t="n">
        <v>45875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23215-2019</t>
        </is>
      </c>
      <c r="B47" s="1" t="n">
        <v>43592</v>
      </c>
      <c r="C47" s="1" t="n">
        <v>45875</v>
      </c>
      <c r="D47" t="inlineStr">
        <is>
          <t>BLEKINGE LÄN</t>
        </is>
      </c>
      <c r="E47" t="inlineStr">
        <is>
          <t>KARLSKRONA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23286-2019</t>
        </is>
      </c>
      <c r="B48" s="1" t="n">
        <v>43593</v>
      </c>
      <c r="C48" s="1" t="n">
        <v>45875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23528-2019</t>
        </is>
      </c>
      <c r="B49" s="1" t="n">
        <v>43594</v>
      </c>
      <c r="C49" s="1" t="n">
        <v>45875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23813-2019</t>
        </is>
      </c>
      <c r="B50" s="1" t="n">
        <v>43594</v>
      </c>
      <c r="C50" s="1" t="n">
        <v>45875</v>
      </c>
      <c r="D50" t="inlineStr">
        <is>
          <t>BLEKINGE LÄN</t>
        </is>
      </c>
      <c r="E50" t="inlineStr">
        <is>
          <t>KARLSKRONA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23721-2019</t>
        </is>
      </c>
      <c r="B51" s="1" t="n">
        <v>43594</v>
      </c>
      <c r="C51" s="1" t="n">
        <v>45875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23820-2019</t>
        </is>
      </c>
      <c r="B52" s="1" t="n">
        <v>43595</v>
      </c>
      <c r="C52" s="1" t="n">
        <v>45875</v>
      </c>
      <c r="D52" t="inlineStr">
        <is>
          <t>BLEKINGE LÄN</t>
        </is>
      </c>
      <c r="E52" t="inlineStr">
        <is>
          <t>KARLSKRONA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23950-2019</t>
        </is>
      </c>
      <c r="B53" s="1" t="n">
        <v>43597</v>
      </c>
      <c r="C53" s="1" t="n">
        <v>45875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24612-2019</t>
        </is>
      </c>
      <c r="B54" s="1" t="n">
        <v>43601</v>
      </c>
      <c r="C54" s="1" t="n">
        <v>45875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24613-2019</t>
        </is>
      </c>
      <c r="B55" s="1" t="n">
        <v>43601</v>
      </c>
      <c r="C55" s="1" t="n">
        <v>45875</v>
      </c>
      <c r="D55" t="inlineStr">
        <is>
          <t>BLEKINGE LÄN</t>
        </is>
      </c>
      <c r="E55" t="inlineStr">
        <is>
          <t>KARLSKRONA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25679-2019</t>
        </is>
      </c>
      <c r="B56" s="1" t="n">
        <v>43602</v>
      </c>
      <c r="C56" s="1" t="n">
        <v>45875</v>
      </c>
      <c r="D56" t="inlineStr">
        <is>
          <t>BLEKINGE LÄN</t>
        </is>
      </c>
      <c r="E56" t="inlineStr">
        <is>
          <t>KARLSKRONA</t>
        </is>
      </c>
      <c r="G56" t="n">
        <v>30.6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26234-2019</t>
        </is>
      </c>
      <c r="B57" s="1" t="n">
        <v>43609</v>
      </c>
      <c r="C57" s="1" t="n">
        <v>45875</v>
      </c>
      <c r="D57" t="inlineStr">
        <is>
          <t>BLEKINGE LÄN</t>
        </is>
      </c>
      <c r="E57" t="inlineStr">
        <is>
          <t>KARLSKRONA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28468-2019</t>
        </is>
      </c>
      <c r="B58" s="1" t="n">
        <v>43626</v>
      </c>
      <c r="C58" s="1" t="n">
        <v>45875</v>
      </c>
      <c r="D58" t="inlineStr">
        <is>
          <t>BLEKINGE LÄN</t>
        </is>
      </c>
      <c r="E58" t="inlineStr">
        <is>
          <t>KARLSKRONA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28430-2019</t>
        </is>
      </c>
      <c r="B59" s="1" t="n">
        <v>43626</v>
      </c>
      <c r="C59" s="1" t="n">
        <v>45875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28466-2019</t>
        </is>
      </c>
      <c r="B60" s="1" t="n">
        <v>43626</v>
      </c>
      <c r="C60" s="1" t="n">
        <v>45875</v>
      </c>
      <c r="D60" t="inlineStr">
        <is>
          <t>BLEKINGE LÄN</t>
        </is>
      </c>
      <c r="E60" t="inlineStr">
        <is>
          <t>KARLSKRONA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29505-2019</t>
        </is>
      </c>
      <c r="B61" s="1" t="n">
        <v>43627</v>
      </c>
      <c r="C61" s="1" t="n">
        <v>45875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29969-2019</t>
        </is>
      </c>
      <c r="B62" s="1" t="n">
        <v>43633</v>
      </c>
      <c r="C62" s="1" t="n">
        <v>45875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30986-2019</t>
        </is>
      </c>
      <c r="B63" s="1" t="n">
        <v>43640</v>
      </c>
      <c r="C63" s="1" t="n">
        <v>45875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32375-2019</t>
        </is>
      </c>
      <c r="B64" s="1" t="n">
        <v>43644</v>
      </c>
      <c r="C64" s="1" t="n">
        <v>45875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32751-2019</t>
        </is>
      </c>
      <c r="B65" s="1" t="n">
        <v>43648</v>
      </c>
      <c r="C65" s="1" t="n">
        <v>45875</v>
      </c>
      <c r="D65" t="inlineStr">
        <is>
          <t>BLEKINGE LÄN</t>
        </is>
      </c>
      <c r="E65" t="inlineStr">
        <is>
          <t>KARLSKRONA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33276-2019</t>
        </is>
      </c>
      <c r="B66" s="1" t="n">
        <v>43650</v>
      </c>
      <c r="C66" s="1" t="n">
        <v>45875</v>
      </c>
      <c r="D66" t="inlineStr">
        <is>
          <t>BLEKINGE LÄN</t>
        </is>
      </c>
      <c r="E66" t="inlineStr">
        <is>
          <t>KARLSKRONA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33327-2019</t>
        </is>
      </c>
      <c r="B67" s="1" t="n">
        <v>43650</v>
      </c>
      <c r="C67" s="1" t="n">
        <v>45875</v>
      </c>
      <c r="D67" t="inlineStr">
        <is>
          <t>BLEKINGE LÄN</t>
        </is>
      </c>
      <c r="E67" t="inlineStr">
        <is>
          <t>KARLSKRONA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34196-2019</t>
        </is>
      </c>
      <c r="B68" s="1" t="n">
        <v>43655</v>
      </c>
      <c r="C68" s="1" t="n">
        <v>45875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36532-2019</t>
        </is>
      </c>
      <c r="B69" s="1" t="n">
        <v>43663</v>
      </c>
      <c r="C69" s="1" t="n">
        <v>45875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36070-2019</t>
        </is>
      </c>
      <c r="B70" s="1" t="n">
        <v>43668</v>
      </c>
      <c r="C70" s="1" t="n">
        <v>45875</v>
      </c>
      <c r="D70" t="inlineStr">
        <is>
          <t>BLEKINGE LÄN</t>
        </is>
      </c>
      <c r="E70" t="inlineStr">
        <is>
          <t>KARLSKRONA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36562-2019</t>
        </is>
      </c>
      <c r="B71" s="1" t="n">
        <v>43671</v>
      </c>
      <c r="C71" s="1" t="n">
        <v>45875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36977-2019</t>
        </is>
      </c>
      <c r="B72" s="1" t="n">
        <v>43676</v>
      </c>
      <c r="C72" s="1" t="n">
        <v>45875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37008-2019</t>
        </is>
      </c>
      <c r="B73" s="1" t="n">
        <v>43676</v>
      </c>
      <c r="C73" s="1" t="n">
        <v>45875</v>
      </c>
      <c r="D73" t="inlineStr">
        <is>
          <t>BLEKINGE LÄN</t>
        </is>
      </c>
      <c r="E73" t="inlineStr">
        <is>
          <t>KARLSKRONA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37659-2019</t>
        </is>
      </c>
      <c r="B74" s="1" t="n">
        <v>43682</v>
      </c>
      <c r="C74" s="1" t="n">
        <v>45875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38097-2019</t>
        </is>
      </c>
      <c r="B75" s="1" t="n">
        <v>43683</v>
      </c>
      <c r="C75" s="1" t="n">
        <v>45875</v>
      </c>
      <c r="D75" t="inlineStr">
        <is>
          <t>BLEKINGE LÄN</t>
        </is>
      </c>
      <c r="E75" t="inlineStr">
        <is>
          <t>KARLSKRONA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38299-2019</t>
        </is>
      </c>
      <c r="B76" s="1" t="n">
        <v>43684</v>
      </c>
      <c r="C76" s="1" t="n">
        <v>45875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38159-2019</t>
        </is>
      </c>
      <c r="B77" s="1" t="n">
        <v>43684</v>
      </c>
      <c r="C77" s="1" t="n">
        <v>45875</v>
      </c>
      <c r="D77" t="inlineStr">
        <is>
          <t>BLEKINGE LÄN</t>
        </is>
      </c>
      <c r="E77" t="inlineStr">
        <is>
          <t>KARLSKRONA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38297-2019</t>
        </is>
      </c>
      <c r="B78" s="1" t="n">
        <v>43684</v>
      </c>
      <c r="C78" s="1" t="n">
        <v>45875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38136-2019</t>
        </is>
      </c>
      <c r="B79" s="1" t="n">
        <v>43684</v>
      </c>
      <c r="C79" s="1" t="n">
        <v>45875</v>
      </c>
      <c r="D79" t="inlineStr">
        <is>
          <t>BLEKINGE LÄN</t>
        </is>
      </c>
      <c r="E79" t="inlineStr">
        <is>
          <t>KARLSKRONA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38697-2019</t>
        </is>
      </c>
      <c r="B80" s="1" t="n">
        <v>43686</v>
      </c>
      <c r="C80" s="1" t="n">
        <v>45875</v>
      </c>
      <c r="D80" t="inlineStr">
        <is>
          <t>BLEKINGE LÄN</t>
        </is>
      </c>
      <c r="E80" t="inlineStr">
        <is>
          <t>KARLSKRONA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38613-2019</t>
        </is>
      </c>
      <c r="B81" s="1" t="n">
        <v>43686</v>
      </c>
      <c r="C81" s="1" t="n">
        <v>45875</v>
      </c>
      <c r="D81" t="inlineStr">
        <is>
          <t>BLEKINGE LÄN</t>
        </is>
      </c>
      <c r="E81" t="inlineStr">
        <is>
          <t>KARLSKRONA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39370-2019</t>
        </is>
      </c>
      <c r="B82" s="1" t="n">
        <v>43690</v>
      </c>
      <c r="C82" s="1" t="n">
        <v>45875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39505-2019</t>
        </is>
      </c>
      <c r="B83" s="1" t="n">
        <v>43691</v>
      </c>
      <c r="C83" s="1" t="n">
        <v>45875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39944-2019</t>
        </is>
      </c>
      <c r="B84" s="1" t="n">
        <v>43692</v>
      </c>
      <c r="C84" s="1" t="n">
        <v>45875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40806-2019</t>
        </is>
      </c>
      <c r="B85" s="1" t="n">
        <v>43692</v>
      </c>
      <c r="C85" s="1" t="n">
        <v>45875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40057-2019</t>
        </is>
      </c>
      <c r="B86" s="1" t="n">
        <v>43692</v>
      </c>
      <c r="C86" s="1" t="n">
        <v>45875</v>
      </c>
      <c r="D86" t="inlineStr">
        <is>
          <t>BLEKINGE LÄN</t>
        </is>
      </c>
      <c r="E86" t="inlineStr">
        <is>
          <t>KARLSKRONA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40019-2019</t>
        </is>
      </c>
      <c r="B87" s="1" t="n">
        <v>43692</v>
      </c>
      <c r="C87" s="1" t="n">
        <v>45875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41067-2019</t>
        </is>
      </c>
      <c r="B88" s="1" t="n">
        <v>43698</v>
      </c>
      <c r="C88" s="1" t="n">
        <v>45875</v>
      </c>
      <c r="D88" t="inlineStr">
        <is>
          <t>BLEKINGE LÄN</t>
        </is>
      </c>
      <c r="E88" t="inlineStr">
        <is>
          <t>KARLSKRONA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41073-2019</t>
        </is>
      </c>
      <c r="B89" s="1" t="n">
        <v>43698</v>
      </c>
      <c r="C89" s="1" t="n">
        <v>45875</v>
      </c>
      <c r="D89" t="inlineStr">
        <is>
          <t>BLEKINGE LÄN</t>
        </is>
      </c>
      <c r="E89" t="inlineStr">
        <is>
          <t>KARLSKRONA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41078-2019</t>
        </is>
      </c>
      <c r="B90" s="1" t="n">
        <v>43698</v>
      </c>
      <c r="C90" s="1" t="n">
        <v>45875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41230-2019</t>
        </is>
      </c>
      <c r="B91" s="1" t="n">
        <v>43698</v>
      </c>
      <c r="C91" s="1" t="n">
        <v>45875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41376-2019</t>
        </is>
      </c>
      <c r="B92" s="1" t="n">
        <v>43698</v>
      </c>
      <c r="C92" s="1" t="n">
        <v>45875</v>
      </c>
      <c r="D92" t="inlineStr">
        <is>
          <t>BLEKINGE LÄN</t>
        </is>
      </c>
      <c r="E92" t="inlineStr">
        <is>
          <t>KARLSKRONA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41229-2019</t>
        </is>
      </c>
      <c r="B93" s="1" t="n">
        <v>43698</v>
      </c>
      <c r="C93" s="1" t="n">
        <v>45875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41430-2019</t>
        </is>
      </c>
      <c r="B94" s="1" t="n">
        <v>43698</v>
      </c>
      <c r="C94" s="1" t="n">
        <v>45875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41422-2019</t>
        </is>
      </c>
      <c r="B95" s="1" t="n">
        <v>43698</v>
      </c>
      <c r="C95" s="1" t="n">
        <v>45875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41217-2019</t>
        </is>
      </c>
      <c r="B96" s="1" t="n">
        <v>43698</v>
      </c>
      <c r="C96" s="1" t="n">
        <v>45875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41233-2019</t>
        </is>
      </c>
      <c r="B97" s="1" t="n">
        <v>43698</v>
      </c>
      <c r="C97" s="1" t="n">
        <v>45875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41369-2019</t>
        </is>
      </c>
      <c r="B98" s="1" t="n">
        <v>43698</v>
      </c>
      <c r="C98" s="1" t="n">
        <v>45875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41317-2019</t>
        </is>
      </c>
      <c r="B99" s="1" t="n">
        <v>43698</v>
      </c>
      <c r="C99" s="1" t="n">
        <v>45875</v>
      </c>
      <c r="D99" t="inlineStr">
        <is>
          <t>BLEKINGE LÄN</t>
        </is>
      </c>
      <c r="E99" t="inlineStr">
        <is>
          <t>KARLSKRONA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41388-2019</t>
        </is>
      </c>
      <c r="B100" s="1" t="n">
        <v>43698</v>
      </c>
      <c r="C100" s="1" t="n">
        <v>45875</v>
      </c>
      <c r="D100" t="inlineStr">
        <is>
          <t>BLEKINGE LÄN</t>
        </is>
      </c>
      <c r="E100" t="inlineStr">
        <is>
          <t>KARLSKRONA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41765-2019</t>
        </is>
      </c>
      <c r="B101" s="1" t="n">
        <v>43699</v>
      </c>
      <c r="C101" s="1" t="n">
        <v>45875</v>
      </c>
      <c r="D101" t="inlineStr">
        <is>
          <t>BLEKINGE LÄN</t>
        </is>
      </c>
      <c r="E101" t="inlineStr">
        <is>
          <t>KARLSKRONA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42085-2019</t>
        </is>
      </c>
      <c r="B102" s="1" t="n">
        <v>43701</v>
      </c>
      <c r="C102" s="1" t="n">
        <v>45875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42086-2019</t>
        </is>
      </c>
      <c r="B103" s="1" t="n">
        <v>43701</v>
      </c>
      <c r="C103" s="1" t="n">
        <v>45875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43532-2019</t>
        </is>
      </c>
      <c r="B104" s="1" t="n">
        <v>43706</v>
      </c>
      <c r="C104" s="1" t="n">
        <v>45875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44120-2019</t>
        </is>
      </c>
      <c r="B105" s="1" t="n">
        <v>43710</v>
      </c>
      <c r="C105" s="1" t="n">
        <v>45875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44362-2019</t>
        </is>
      </c>
      <c r="B106" s="1" t="n">
        <v>43710</v>
      </c>
      <c r="C106" s="1" t="n">
        <v>45875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44048-2019</t>
        </is>
      </c>
      <c r="B107" s="1" t="n">
        <v>43710</v>
      </c>
      <c r="C107" s="1" t="n">
        <v>45875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44358-2019</t>
        </is>
      </c>
      <c r="B108" s="1" t="n">
        <v>43711</v>
      </c>
      <c r="C108" s="1" t="n">
        <v>45875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44451-2019</t>
        </is>
      </c>
      <c r="B109" s="1" t="n">
        <v>43711</v>
      </c>
      <c r="C109" s="1" t="n">
        <v>45875</v>
      </c>
      <c r="D109" t="inlineStr">
        <is>
          <t>BLEKINGE LÄN</t>
        </is>
      </c>
      <c r="E109" t="inlineStr">
        <is>
          <t>KARLSKRONA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44526-2019</t>
        </is>
      </c>
      <c r="B110" s="1" t="n">
        <v>43711</v>
      </c>
      <c r="C110" s="1" t="n">
        <v>45875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44667-2019</t>
        </is>
      </c>
      <c r="B111" s="1" t="n">
        <v>43712</v>
      </c>
      <c r="C111" s="1" t="n">
        <v>45875</v>
      </c>
      <c r="D111" t="inlineStr">
        <is>
          <t>BLEKINGE LÄN</t>
        </is>
      </c>
      <c r="E111" t="inlineStr">
        <is>
          <t>KARLSKRONA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44674-2019</t>
        </is>
      </c>
      <c r="B112" s="1" t="n">
        <v>43712</v>
      </c>
      <c r="C112" s="1" t="n">
        <v>45875</v>
      </c>
      <c r="D112" t="inlineStr">
        <is>
          <t>BLEKINGE LÄN</t>
        </is>
      </c>
      <c r="E112" t="inlineStr">
        <is>
          <t>KARLSKRONA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44668-2019</t>
        </is>
      </c>
      <c r="B113" s="1" t="n">
        <v>43712</v>
      </c>
      <c r="C113" s="1" t="n">
        <v>45875</v>
      </c>
      <c r="D113" t="inlineStr">
        <is>
          <t>BLEKINGE LÄN</t>
        </is>
      </c>
      <c r="E113" t="inlineStr">
        <is>
          <t>KARLSKRONA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44819-2019</t>
        </is>
      </c>
      <c r="B114" s="1" t="n">
        <v>43712</v>
      </c>
      <c r="C114" s="1" t="n">
        <v>45875</v>
      </c>
      <c r="D114" t="inlineStr">
        <is>
          <t>BLEKINGE LÄN</t>
        </is>
      </c>
      <c r="E114" t="inlineStr">
        <is>
          <t>KARLSKRONA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44829-2019</t>
        </is>
      </c>
      <c r="B115" s="1" t="n">
        <v>43712</v>
      </c>
      <c r="C115" s="1" t="n">
        <v>45875</v>
      </c>
      <c r="D115" t="inlineStr">
        <is>
          <t>BLEKINGE LÄN</t>
        </is>
      </c>
      <c r="E115" t="inlineStr">
        <is>
          <t>KARLSKRONA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44812-2019</t>
        </is>
      </c>
      <c r="B116" s="1" t="n">
        <v>43712</v>
      </c>
      <c r="C116" s="1" t="n">
        <v>45875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46106-2019</t>
        </is>
      </c>
      <c r="B117" s="1" t="n">
        <v>43718</v>
      </c>
      <c r="C117" s="1" t="n">
        <v>45875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46178-2019</t>
        </is>
      </c>
      <c r="B118" s="1" t="n">
        <v>43718</v>
      </c>
      <c r="C118" s="1" t="n">
        <v>45875</v>
      </c>
      <c r="D118" t="inlineStr">
        <is>
          <t>BLEKINGE LÄN</t>
        </is>
      </c>
      <c r="E118" t="inlineStr">
        <is>
          <t>KARLSKRONA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46398-2019</t>
        </is>
      </c>
      <c r="B119" s="1" t="n">
        <v>43719</v>
      </c>
      <c r="C119" s="1" t="n">
        <v>45875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46492-2019</t>
        </is>
      </c>
      <c r="B120" s="1" t="n">
        <v>43719</v>
      </c>
      <c r="C120" s="1" t="n">
        <v>45875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46388-2019</t>
        </is>
      </c>
      <c r="B121" s="1" t="n">
        <v>43719</v>
      </c>
      <c r="C121" s="1" t="n">
        <v>45875</v>
      </c>
      <c r="D121" t="inlineStr">
        <is>
          <t>BLEKINGE LÄN</t>
        </is>
      </c>
      <c r="E121" t="inlineStr">
        <is>
          <t>KARLSKRONA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46422-2019</t>
        </is>
      </c>
      <c r="B122" s="1" t="n">
        <v>43719</v>
      </c>
      <c r="C122" s="1" t="n">
        <v>45875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46874-2019</t>
        </is>
      </c>
      <c r="B123" s="1" t="n">
        <v>43720</v>
      </c>
      <c r="C123" s="1" t="n">
        <v>45875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46935-2019</t>
        </is>
      </c>
      <c r="B124" s="1" t="n">
        <v>43720</v>
      </c>
      <c r="C124" s="1" t="n">
        <v>45875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47264-2019</t>
        </is>
      </c>
      <c r="B125" s="1" t="n">
        <v>43721</v>
      </c>
      <c r="C125" s="1" t="n">
        <v>45875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48546-2019</t>
        </is>
      </c>
      <c r="B126" s="1" t="n">
        <v>43727</v>
      </c>
      <c r="C126" s="1" t="n">
        <v>45875</v>
      </c>
      <c r="D126" t="inlineStr">
        <is>
          <t>BLEKINGE LÄN</t>
        </is>
      </c>
      <c r="E126" t="inlineStr">
        <is>
          <t>KARLSKRONA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51119-2019</t>
        </is>
      </c>
      <c r="B127" s="1" t="n">
        <v>43732</v>
      </c>
      <c r="C127" s="1" t="n">
        <v>45875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50536-2019</t>
        </is>
      </c>
      <c r="B128" s="1" t="n">
        <v>43735</v>
      </c>
      <c r="C128" s="1" t="n">
        <v>45875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50960-2019</t>
        </is>
      </c>
      <c r="B129" s="1" t="n">
        <v>43738</v>
      </c>
      <c r="C129" s="1" t="n">
        <v>45875</v>
      </c>
      <c r="D129" t="inlineStr">
        <is>
          <t>BLEKINGE LÄN</t>
        </is>
      </c>
      <c r="E129" t="inlineStr">
        <is>
          <t>KARLSKRONA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52011-2019</t>
        </is>
      </c>
      <c r="B130" s="1" t="n">
        <v>43742</v>
      </c>
      <c r="C130" s="1" t="n">
        <v>45875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52693-2019</t>
        </is>
      </c>
      <c r="B131" s="1" t="n">
        <v>43746</v>
      </c>
      <c r="C131" s="1" t="n">
        <v>45875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54008-2019</t>
        </is>
      </c>
      <c r="B132" s="1" t="n">
        <v>43746</v>
      </c>
      <c r="C132" s="1" t="n">
        <v>45875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53069-2019</t>
        </is>
      </c>
      <c r="B133" s="1" t="n">
        <v>43747</v>
      </c>
      <c r="C133" s="1" t="n">
        <v>45875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53273-2019</t>
        </is>
      </c>
      <c r="B134" s="1" t="n">
        <v>43748</v>
      </c>
      <c r="C134" s="1" t="n">
        <v>45875</v>
      </c>
      <c r="D134" t="inlineStr">
        <is>
          <t>BLEKINGE LÄN</t>
        </is>
      </c>
      <c r="E134" t="inlineStr">
        <is>
          <t>KARLSKRONA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54192-2019</t>
        </is>
      </c>
      <c r="B135" s="1" t="n">
        <v>43753</v>
      </c>
      <c r="C135" s="1" t="n">
        <v>45875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54144-2019</t>
        </is>
      </c>
      <c r="B136" s="1" t="n">
        <v>43753</v>
      </c>
      <c r="C136" s="1" t="n">
        <v>45875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54508-2019</t>
        </is>
      </c>
      <c r="B137" s="1" t="n">
        <v>43754</v>
      </c>
      <c r="C137" s="1" t="n">
        <v>45875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56341-2019</t>
        </is>
      </c>
      <c r="B138" s="1" t="n">
        <v>43756</v>
      </c>
      <c r="C138" s="1" t="n">
        <v>45875</v>
      </c>
      <c r="D138" t="inlineStr">
        <is>
          <t>BLEKINGE LÄN</t>
        </is>
      </c>
      <c r="E138" t="inlineStr">
        <is>
          <t>KARLSKRONA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55493-2019</t>
        </is>
      </c>
      <c r="B139" s="1" t="n">
        <v>43760</v>
      </c>
      <c r="C139" s="1" t="n">
        <v>45875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55494-2019</t>
        </is>
      </c>
      <c r="B140" s="1" t="n">
        <v>43760</v>
      </c>
      <c r="C140" s="1" t="n">
        <v>45875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56357-2019</t>
        </is>
      </c>
      <c r="B141" s="1" t="n">
        <v>43761</v>
      </c>
      <c r="C141" s="1" t="n">
        <v>45875</v>
      </c>
      <c r="D141" t="inlineStr">
        <is>
          <t>BLEKINGE LÄN</t>
        </is>
      </c>
      <c r="E141" t="inlineStr">
        <is>
          <t>KARLSKRONA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56528-2019</t>
        </is>
      </c>
      <c r="B142" s="1" t="n">
        <v>43763</v>
      </c>
      <c r="C142" s="1" t="n">
        <v>45875</v>
      </c>
      <c r="D142" t="inlineStr">
        <is>
          <t>BLEKINGE LÄN</t>
        </is>
      </c>
      <c r="E142" t="inlineStr">
        <is>
          <t>KARLSKRONA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56529-2019</t>
        </is>
      </c>
      <c r="B143" s="1" t="n">
        <v>43763</v>
      </c>
      <c r="C143" s="1" t="n">
        <v>45875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56531-2019</t>
        </is>
      </c>
      <c r="B144" s="1" t="n">
        <v>43763</v>
      </c>
      <c r="C144" s="1" t="n">
        <v>45875</v>
      </c>
      <c r="D144" t="inlineStr">
        <is>
          <t>BLEKINGE LÄN</t>
        </is>
      </c>
      <c r="E144" t="inlineStr">
        <is>
          <t>KARLSKRONA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56876-2019</t>
        </is>
      </c>
      <c r="B145" s="1" t="n">
        <v>43766</v>
      </c>
      <c r="C145" s="1" t="n">
        <v>45875</v>
      </c>
      <c r="D145" t="inlineStr">
        <is>
          <t>BLEKINGE LÄN</t>
        </is>
      </c>
      <c r="E145" t="inlineStr">
        <is>
          <t>KARLSKRONA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57105-2019</t>
        </is>
      </c>
      <c r="B146" s="1" t="n">
        <v>43766</v>
      </c>
      <c r="C146" s="1" t="n">
        <v>45875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58268-2019</t>
        </is>
      </c>
      <c r="B147" s="1" t="n">
        <v>43770</v>
      </c>
      <c r="C147" s="1" t="n">
        <v>45875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58605-2019</t>
        </is>
      </c>
      <c r="B148" s="1" t="n">
        <v>43773</v>
      </c>
      <c r="C148" s="1" t="n">
        <v>45875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58783-2019</t>
        </is>
      </c>
      <c r="B149" s="1" t="n">
        <v>43773</v>
      </c>
      <c r="C149" s="1" t="n">
        <v>45875</v>
      </c>
      <c r="D149" t="inlineStr">
        <is>
          <t>BLEKINGE LÄN</t>
        </is>
      </c>
      <c r="E149" t="inlineStr">
        <is>
          <t>KARLSKRONA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59064-2019</t>
        </is>
      </c>
      <c r="B150" s="1" t="n">
        <v>43774</v>
      </c>
      <c r="C150" s="1" t="n">
        <v>45875</v>
      </c>
      <c r="D150" t="inlineStr">
        <is>
          <t>BLEKINGE LÄN</t>
        </is>
      </c>
      <c r="E150" t="inlineStr">
        <is>
          <t>KARLSKRONA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59268-2019</t>
        </is>
      </c>
      <c r="B151" s="1" t="n">
        <v>43775</v>
      </c>
      <c r="C151" s="1" t="n">
        <v>45875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59305-2019</t>
        </is>
      </c>
      <c r="B152" s="1" t="n">
        <v>43775</v>
      </c>
      <c r="C152" s="1" t="n">
        <v>45875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60082-2019</t>
        </is>
      </c>
      <c r="B153" s="1" t="n">
        <v>43777</v>
      </c>
      <c r="C153" s="1" t="n">
        <v>45875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61001-2019</t>
        </is>
      </c>
      <c r="B154" s="1" t="n">
        <v>43782</v>
      </c>
      <c r="C154" s="1" t="n">
        <v>45875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62221-2019</t>
        </is>
      </c>
      <c r="B155" s="1" t="n">
        <v>43782</v>
      </c>
      <c r="C155" s="1" t="n">
        <v>45875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61670-2019</t>
        </is>
      </c>
      <c r="B156" s="1" t="n">
        <v>43783</v>
      </c>
      <c r="C156" s="1" t="n">
        <v>45875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64189-2019</t>
        </is>
      </c>
      <c r="B157" s="1" t="n">
        <v>43783</v>
      </c>
      <c r="C157" s="1" t="n">
        <v>45875</v>
      </c>
      <c r="D157" t="inlineStr">
        <is>
          <t>BLEKINGE LÄN</t>
        </is>
      </c>
      <c r="E157" t="inlineStr">
        <is>
          <t>KARLSKRONA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62479-2019</t>
        </is>
      </c>
      <c r="B158" s="1" t="n">
        <v>43788</v>
      </c>
      <c r="C158" s="1" t="n">
        <v>45875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62477-2019</t>
        </is>
      </c>
      <c r="B159" s="1" t="n">
        <v>43788</v>
      </c>
      <c r="C159" s="1" t="n">
        <v>45875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62693-2019</t>
        </is>
      </c>
      <c r="B160" s="1" t="n">
        <v>43789</v>
      </c>
      <c r="C160" s="1" t="n">
        <v>45875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63389-2019</t>
        </is>
      </c>
      <c r="B161" s="1" t="n">
        <v>43790</v>
      </c>
      <c r="C161" s="1" t="n">
        <v>45875</v>
      </c>
      <c r="D161" t="inlineStr">
        <is>
          <t>BLEKINGE LÄN</t>
        </is>
      </c>
      <c r="E161" t="inlineStr">
        <is>
          <t>KARLSKRONA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65750-2019</t>
        </is>
      </c>
      <c r="B162" s="1" t="n">
        <v>43804</v>
      </c>
      <c r="C162" s="1" t="n">
        <v>45875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65768-2019</t>
        </is>
      </c>
      <c r="B163" s="1" t="n">
        <v>43804</v>
      </c>
      <c r="C163" s="1" t="n">
        <v>45875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67201-2019</t>
        </is>
      </c>
      <c r="B164" s="1" t="n">
        <v>43811</v>
      </c>
      <c r="C164" s="1" t="n">
        <v>45875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67260-2019</t>
        </is>
      </c>
      <c r="B165" s="1" t="n">
        <v>43812</v>
      </c>
      <c r="C165" s="1" t="n">
        <v>45875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67269-2019</t>
        </is>
      </c>
      <c r="B166" s="1" t="n">
        <v>43812</v>
      </c>
      <c r="C166" s="1" t="n">
        <v>45875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68240-2019</t>
        </is>
      </c>
      <c r="B167" s="1" t="n">
        <v>43817</v>
      </c>
      <c r="C167" s="1" t="n">
        <v>45875</v>
      </c>
      <c r="D167" t="inlineStr">
        <is>
          <t>BLEKINGE LÄN</t>
        </is>
      </c>
      <c r="E167" t="inlineStr">
        <is>
          <t>KARLSKRONA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68443-2019</t>
        </is>
      </c>
      <c r="B168" s="1" t="n">
        <v>43818</v>
      </c>
      <c r="C168" s="1" t="n">
        <v>45875</v>
      </c>
      <c r="D168" t="inlineStr">
        <is>
          <t>BLEKINGE LÄN</t>
        </is>
      </c>
      <c r="E168" t="inlineStr">
        <is>
          <t>KARLSKRONA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84-2020</t>
        </is>
      </c>
      <c r="B169" s="1" t="n">
        <v>43832</v>
      </c>
      <c r="C169" s="1" t="n">
        <v>45875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85-2020</t>
        </is>
      </c>
      <c r="B170" s="1" t="n">
        <v>43832</v>
      </c>
      <c r="C170" s="1" t="n">
        <v>45875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132-2020</t>
        </is>
      </c>
      <c r="B171" s="1" t="n">
        <v>43833</v>
      </c>
      <c r="C171" s="1" t="n">
        <v>45875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418-2020</t>
        </is>
      </c>
      <c r="B172" s="1" t="n">
        <v>43837</v>
      </c>
      <c r="C172" s="1" t="n">
        <v>45875</v>
      </c>
      <c r="D172" t="inlineStr">
        <is>
          <t>BLEKINGE LÄN</t>
        </is>
      </c>
      <c r="E172" t="inlineStr">
        <is>
          <t>KARLSKRONA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614-2020</t>
        </is>
      </c>
      <c r="B173" s="1" t="n">
        <v>43838</v>
      </c>
      <c r="C173" s="1" t="n">
        <v>45875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689-2020</t>
        </is>
      </c>
      <c r="B174" s="1" t="n">
        <v>43838</v>
      </c>
      <c r="C174" s="1" t="n">
        <v>45875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1223-2020</t>
        </is>
      </c>
      <c r="B175" s="1" t="n">
        <v>43840</v>
      </c>
      <c r="C175" s="1" t="n">
        <v>45875</v>
      </c>
      <c r="D175" t="inlineStr">
        <is>
          <t>BLEKINGE LÄN</t>
        </is>
      </c>
      <c r="E175" t="inlineStr">
        <is>
          <t>KARLSKRONA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1740-2020</t>
        </is>
      </c>
      <c r="B176" s="1" t="n">
        <v>43844</v>
      </c>
      <c r="C176" s="1" t="n">
        <v>45875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1838-2020</t>
        </is>
      </c>
      <c r="B177" s="1" t="n">
        <v>43844</v>
      </c>
      <c r="C177" s="1" t="n">
        <v>45875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2086-2020</t>
        </is>
      </c>
      <c r="B178" s="1" t="n">
        <v>43845</v>
      </c>
      <c r="C178" s="1" t="n">
        <v>45875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3555-2020</t>
        </is>
      </c>
      <c r="B179" s="1" t="n">
        <v>43845</v>
      </c>
      <c r="C179" s="1" t="n">
        <v>45875</v>
      </c>
      <c r="D179" t="inlineStr">
        <is>
          <t>BLEKINGE LÄN</t>
        </is>
      </c>
      <c r="E179" t="inlineStr">
        <is>
          <t>KARLSKRONA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2672-2020</t>
        </is>
      </c>
      <c r="B180" s="1" t="n">
        <v>43849</v>
      </c>
      <c r="C180" s="1" t="n">
        <v>45875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2723-2020</t>
        </is>
      </c>
      <c r="B181" s="1" t="n">
        <v>43850</v>
      </c>
      <c r="C181" s="1" t="n">
        <v>45875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3377-2020</t>
        </is>
      </c>
      <c r="B182" s="1" t="n">
        <v>43852</v>
      </c>
      <c r="C182" s="1" t="n">
        <v>45875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3384-2020</t>
        </is>
      </c>
      <c r="B183" s="1" t="n">
        <v>43852</v>
      </c>
      <c r="C183" s="1" t="n">
        <v>45875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3787-2020</t>
        </is>
      </c>
      <c r="B184" s="1" t="n">
        <v>43854</v>
      </c>
      <c r="C184" s="1" t="n">
        <v>45875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6607-2020</t>
        </is>
      </c>
      <c r="B185" s="1" t="n">
        <v>43867</v>
      </c>
      <c r="C185" s="1" t="n">
        <v>45875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6804-2020</t>
        </is>
      </c>
      <c r="B186" s="1" t="n">
        <v>43867</v>
      </c>
      <c r="C186" s="1" t="n">
        <v>45875</v>
      </c>
      <c r="D186" t="inlineStr">
        <is>
          <t>BLEKINGE LÄN</t>
        </is>
      </c>
      <c r="E186" t="inlineStr">
        <is>
          <t>KARLSKRONA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7166-2020</t>
        </is>
      </c>
      <c r="B187" s="1" t="n">
        <v>43870</v>
      </c>
      <c r="C187" s="1" t="n">
        <v>45875</v>
      </c>
      <c r="D187" t="inlineStr">
        <is>
          <t>BLEKINGE LÄN</t>
        </is>
      </c>
      <c r="E187" t="inlineStr">
        <is>
          <t>KARLSKRONA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7167-2020</t>
        </is>
      </c>
      <c r="B188" s="1" t="n">
        <v>43870</v>
      </c>
      <c r="C188" s="1" t="n">
        <v>45875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7614-2020</t>
        </is>
      </c>
      <c r="B189" s="1" t="n">
        <v>43872</v>
      </c>
      <c r="C189" s="1" t="n">
        <v>45875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8322-2020</t>
        </is>
      </c>
      <c r="B190" s="1" t="n">
        <v>43875</v>
      </c>
      <c r="C190" s="1" t="n">
        <v>45875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9102-2020</t>
        </is>
      </c>
      <c r="B191" s="1" t="n">
        <v>43879</v>
      </c>
      <c r="C191" s="1" t="n">
        <v>45875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10641-2020</t>
        </is>
      </c>
      <c r="B192" s="1" t="n">
        <v>43887</v>
      </c>
      <c r="C192" s="1" t="n">
        <v>45875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10637-2020</t>
        </is>
      </c>
      <c r="B193" s="1" t="n">
        <v>43887</v>
      </c>
      <c r="C193" s="1" t="n">
        <v>45875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10993-2020</t>
        </is>
      </c>
      <c r="B194" s="1" t="n">
        <v>43889</v>
      </c>
      <c r="C194" s="1" t="n">
        <v>45875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11068-2020</t>
        </is>
      </c>
      <c r="B195" s="1" t="n">
        <v>43889</v>
      </c>
      <c r="C195" s="1" t="n">
        <v>45875</v>
      </c>
      <c r="D195" t="inlineStr">
        <is>
          <t>BLEKINGE LÄN</t>
        </is>
      </c>
      <c r="E195" t="inlineStr">
        <is>
          <t>KARLSKRONA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11018-2020</t>
        </is>
      </c>
      <c r="B196" s="1" t="n">
        <v>43889</v>
      </c>
      <c r="C196" s="1" t="n">
        <v>45875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11924-2020</t>
        </is>
      </c>
      <c r="B197" s="1" t="n">
        <v>43894</v>
      </c>
      <c r="C197" s="1" t="n">
        <v>45875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12670-2020</t>
        </is>
      </c>
      <c r="B198" s="1" t="n">
        <v>43899</v>
      </c>
      <c r="C198" s="1" t="n">
        <v>45875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12971-2020</t>
        </is>
      </c>
      <c r="B199" s="1" t="n">
        <v>43900</v>
      </c>
      <c r="C199" s="1" t="n">
        <v>45875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13332-2020</t>
        </is>
      </c>
      <c r="B200" s="1" t="n">
        <v>43902</v>
      </c>
      <c r="C200" s="1" t="n">
        <v>45875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13497-2020</t>
        </is>
      </c>
      <c r="B201" s="1" t="n">
        <v>43902</v>
      </c>
      <c r="C201" s="1" t="n">
        <v>45875</v>
      </c>
      <c r="D201" t="inlineStr">
        <is>
          <t>BLEKINGE LÄN</t>
        </is>
      </c>
      <c r="E201" t="inlineStr">
        <is>
          <t>KARLSKRONA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13520-2020</t>
        </is>
      </c>
      <c r="B202" s="1" t="n">
        <v>43902</v>
      </c>
      <c r="C202" s="1" t="n">
        <v>45875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13551-2020</t>
        </is>
      </c>
      <c r="B203" s="1" t="n">
        <v>43902</v>
      </c>
      <c r="C203" s="1" t="n">
        <v>45875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14318-2020</t>
        </is>
      </c>
      <c r="B204" s="1" t="n">
        <v>43907</v>
      </c>
      <c r="C204" s="1" t="n">
        <v>45875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14289-2020</t>
        </is>
      </c>
      <c r="B205" s="1" t="n">
        <v>43907</v>
      </c>
      <c r="C205" s="1" t="n">
        <v>45875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14291-2020</t>
        </is>
      </c>
      <c r="B206" s="1" t="n">
        <v>43907</v>
      </c>
      <c r="C206" s="1" t="n">
        <v>45875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15208-2020</t>
        </is>
      </c>
      <c r="B207" s="1" t="n">
        <v>43913</v>
      </c>
      <c r="C207" s="1" t="n">
        <v>45875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15514-2020</t>
        </is>
      </c>
      <c r="B208" s="1" t="n">
        <v>43914</v>
      </c>
      <c r="C208" s="1" t="n">
        <v>45875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15573-2020</t>
        </is>
      </c>
      <c r="B209" s="1" t="n">
        <v>43914</v>
      </c>
      <c r="C209" s="1" t="n">
        <v>45875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15666-2020</t>
        </is>
      </c>
      <c r="B210" s="1" t="n">
        <v>43915</v>
      </c>
      <c r="C210" s="1" t="n">
        <v>45875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15671-2020</t>
        </is>
      </c>
      <c r="B211" s="1" t="n">
        <v>43915</v>
      </c>
      <c r="C211" s="1" t="n">
        <v>45875</v>
      </c>
      <c r="D211" t="inlineStr">
        <is>
          <t>BLEKINGE LÄN</t>
        </is>
      </c>
      <c r="E211" t="inlineStr">
        <is>
          <t>KARLSKRONA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16047-2020</t>
        </is>
      </c>
      <c r="B212" s="1" t="n">
        <v>43916</v>
      </c>
      <c r="C212" s="1" t="n">
        <v>45875</v>
      </c>
      <c r="D212" t="inlineStr">
        <is>
          <t>BLEKINGE LÄN</t>
        </is>
      </c>
      <c r="E212" t="inlineStr">
        <is>
          <t>KARLSKRONA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16124-2020</t>
        </is>
      </c>
      <c r="B213" s="1" t="n">
        <v>43916</v>
      </c>
      <c r="C213" s="1" t="n">
        <v>45875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16200-2020</t>
        </is>
      </c>
      <c r="B214" s="1" t="n">
        <v>43917</v>
      </c>
      <c r="C214" s="1" t="n">
        <v>45875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16498-2020</t>
        </is>
      </c>
      <c r="B215" s="1" t="n">
        <v>43920</v>
      </c>
      <c r="C215" s="1" t="n">
        <v>45875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16535-2020</t>
        </is>
      </c>
      <c r="B216" s="1" t="n">
        <v>43920</v>
      </c>
      <c r="C216" s="1" t="n">
        <v>45875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16500-2020</t>
        </is>
      </c>
      <c r="B217" s="1" t="n">
        <v>43920</v>
      </c>
      <c r="C217" s="1" t="n">
        <v>45875</v>
      </c>
      <c r="D217" t="inlineStr">
        <is>
          <t>BLEKINGE LÄN</t>
        </is>
      </c>
      <c r="E217" t="inlineStr">
        <is>
          <t>KARLSKRONA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16532-2020</t>
        </is>
      </c>
      <c r="B218" s="1" t="n">
        <v>43920</v>
      </c>
      <c r="C218" s="1" t="n">
        <v>45875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16854-2020</t>
        </is>
      </c>
      <c r="B219" s="1" t="n">
        <v>43921</v>
      </c>
      <c r="C219" s="1" t="n">
        <v>45875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17489-2020</t>
        </is>
      </c>
      <c r="B220" s="1" t="n">
        <v>43923</v>
      </c>
      <c r="C220" s="1" t="n">
        <v>45875</v>
      </c>
      <c r="D220" t="inlineStr">
        <is>
          <t>BLEKINGE LÄN</t>
        </is>
      </c>
      <c r="E220" t="inlineStr">
        <is>
          <t>KARLSKRONA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17480-2020</t>
        </is>
      </c>
      <c r="B221" s="1" t="n">
        <v>43923</v>
      </c>
      <c r="C221" s="1" t="n">
        <v>45875</v>
      </c>
      <c r="D221" t="inlineStr">
        <is>
          <t>BLEKINGE LÄN</t>
        </is>
      </c>
      <c r="E221" t="inlineStr">
        <is>
          <t>KARLSKRONA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17448-2020</t>
        </is>
      </c>
      <c r="B222" s="1" t="n">
        <v>43923</v>
      </c>
      <c r="C222" s="1" t="n">
        <v>45875</v>
      </c>
      <c r="D222" t="inlineStr">
        <is>
          <t>BLEKINGE LÄN</t>
        </is>
      </c>
      <c r="E222" t="inlineStr">
        <is>
          <t>KARLSKRONA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17967-2020</t>
        </is>
      </c>
      <c r="B223" s="1" t="n">
        <v>43925</v>
      </c>
      <c r="C223" s="1" t="n">
        <v>45875</v>
      </c>
      <c r="D223" t="inlineStr">
        <is>
          <t>BLEKINGE LÄN</t>
        </is>
      </c>
      <c r="E223" t="inlineStr">
        <is>
          <t>KARLSKRONA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17971-2020</t>
        </is>
      </c>
      <c r="B224" s="1" t="n">
        <v>43926</v>
      </c>
      <c r="C224" s="1" t="n">
        <v>45875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18005-2020</t>
        </is>
      </c>
      <c r="B225" s="1" t="n">
        <v>43927</v>
      </c>
      <c r="C225" s="1" t="n">
        <v>45875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18022-2020</t>
        </is>
      </c>
      <c r="B226" s="1" t="n">
        <v>43927</v>
      </c>
      <c r="C226" s="1" t="n">
        <v>45875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18017-2020</t>
        </is>
      </c>
      <c r="B227" s="1" t="n">
        <v>43927</v>
      </c>
      <c r="C227" s="1" t="n">
        <v>45875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18019-2020</t>
        </is>
      </c>
      <c r="B228" s="1" t="n">
        <v>43927</v>
      </c>
      <c r="C228" s="1" t="n">
        <v>45875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18920-2020</t>
        </is>
      </c>
      <c r="B229" s="1" t="n">
        <v>43935</v>
      </c>
      <c r="C229" s="1" t="n">
        <v>45875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19305-2020</t>
        </is>
      </c>
      <c r="B230" s="1" t="n">
        <v>43937</v>
      </c>
      <c r="C230" s="1" t="n">
        <v>45875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19301-2020</t>
        </is>
      </c>
      <c r="B231" s="1" t="n">
        <v>43937</v>
      </c>
      <c r="C231" s="1" t="n">
        <v>45875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19231-2020</t>
        </is>
      </c>
      <c r="B232" s="1" t="n">
        <v>43937</v>
      </c>
      <c r="C232" s="1" t="n">
        <v>45875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19481-2020</t>
        </is>
      </c>
      <c r="B233" s="1" t="n">
        <v>43938</v>
      </c>
      <c r="C233" s="1" t="n">
        <v>45875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20837-2020</t>
        </is>
      </c>
      <c r="B234" s="1" t="n">
        <v>43950</v>
      </c>
      <c r="C234" s="1" t="n">
        <v>45875</v>
      </c>
      <c r="D234" t="inlineStr">
        <is>
          <t>BLEKINGE LÄN</t>
        </is>
      </c>
      <c r="E234" t="inlineStr">
        <is>
          <t>KARLSKRONA</t>
        </is>
      </c>
      <c r="F234" t="inlineStr">
        <is>
          <t>Kyrkan</t>
        </is>
      </c>
      <c r="G234" t="n">
        <v>24.9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24585-2020</t>
        </is>
      </c>
      <c r="B235" s="1" t="n">
        <v>43977</v>
      </c>
      <c r="C235" s="1" t="n">
        <v>45875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24589-2020</t>
        </is>
      </c>
      <c r="B236" s="1" t="n">
        <v>43977</v>
      </c>
      <c r="C236" s="1" t="n">
        <v>45875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24590-2020</t>
        </is>
      </c>
      <c r="B237" s="1" t="n">
        <v>43977</v>
      </c>
      <c r="C237" s="1" t="n">
        <v>45875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25401-2020</t>
        </is>
      </c>
      <c r="B238" s="1" t="n">
        <v>43980</v>
      </c>
      <c r="C238" s="1" t="n">
        <v>45875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25402-2020</t>
        </is>
      </c>
      <c r="B239" s="1" t="n">
        <v>43980</v>
      </c>
      <c r="C239" s="1" t="n">
        <v>45875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26254-2020</t>
        </is>
      </c>
      <c r="B240" s="1" t="n">
        <v>43986</v>
      </c>
      <c r="C240" s="1" t="n">
        <v>45875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27275-2020</t>
        </is>
      </c>
      <c r="B241" s="1" t="n">
        <v>43992</v>
      </c>
      <c r="C241" s="1" t="n">
        <v>45875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27452-2020</t>
        </is>
      </c>
      <c r="B242" s="1" t="n">
        <v>43993</v>
      </c>
      <c r="C242" s="1" t="n">
        <v>45875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29566-2020</t>
        </is>
      </c>
      <c r="B243" s="1" t="n">
        <v>44005</v>
      </c>
      <c r="C243" s="1" t="n">
        <v>45875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29937-2020</t>
        </is>
      </c>
      <c r="B244" s="1" t="n">
        <v>44006</v>
      </c>
      <c r="C244" s="1" t="n">
        <v>45875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30182-2020</t>
        </is>
      </c>
      <c r="B245" s="1" t="n">
        <v>44007</v>
      </c>
      <c r="C245" s="1" t="n">
        <v>45875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30725-2020</t>
        </is>
      </c>
      <c r="B246" s="1" t="n">
        <v>44008</v>
      </c>
      <c r="C246" s="1" t="n">
        <v>45875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31962-2020</t>
        </is>
      </c>
      <c r="B247" s="1" t="n">
        <v>44014</v>
      </c>
      <c r="C247" s="1" t="n">
        <v>45875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32097-2020</t>
        </is>
      </c>
      <c r="B248" s="1" t="n">
        <v>44015</v>
      </c>
      <c r="C248" s="1" t="n">
        <v>45875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32575-2020</t>
        </is>
      </c>
      <c r="B249" s="1" t="n">
        <v>44018</v>
      </c>
      <c r="C249" s="1" t="n">
        <v>45875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32927-2020</t>
        </is>
      </c>
      <c r="B250" s="1" t="n">
        <v>44019</v>
      </c>
      <c r="C250" s="1" t="n">
        <v>45875</v>
      </c>
      <c r="D250" t="inlineStr">
        <is>
          <t>BLEKINGE LÄN</t>
        </is>
      </c>
      <c r="E250" t="inlineStr">
        <is>
          <t>KARLSKRONA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33062-2020</t>
        </is>
      </c>
      <c r="B251" s="1" t="n">
        <v>44021</v>
      </c>
      <c r="C251" s="1" t="n">
        <v>45875</v>
      </c>
      <c r="D251" t="inlineStr">
        <is>
          <t>BLEKINGE LÄN</t>
        </is>
      </c>
      <c r="E251" t="inlineStr">
        <is>
          <t>KARLSKRONA</t>
        </is>
      </c>
      <c r="G251" t="n">
        <v>21.2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33954-2020</t>
        </is>
      </c>
      <c r="B252" s="1" t="n">
        <v>44026</v>
      </c>
      <c r="C252" s="1" t="n">
        <v>45875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35031-2020</t>
        </is>
      </c>
      <c r="B253" s="1" t="n">
        <v>44039</v>
      </c>
      <c r="C253" s="1" t="n">
        <v>45875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35754-2020</t>
        </is>
      </c>
      <c r="B254" s="1" t="n">
        <v>44046</v>
      </c>
      <c r="C254" s="1" t="n">
        <v>45875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36065-2020</t>
        </is>
      </c>
      <c r="B255" s="1" t="n">
        <v>44048</v>
      </c>
      <c r="C255" s="1" t="n">
        <v>45875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36806-2020</t>
        </is>
      </c>
      <c r="B256" s="1" t="n">
        <v>44053</v>
      </c>
      <c r="C256" s="1" t="n">
        <v>45875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36873-2020</t>
        </is>
      </c>
      <c r="B257" s="1" t="n">
        <v>44053</v>
      </c>
      <c r="C257" s="1" t="n">
        <v>45875</v>
      </c>
      <c r="D257" t="inlineStr">
        <is>
          <t>BLEKINGE LÄN</t>
        </is>
      </c>
      <c r="E257" t="inlineStr">
        <is>
          <t>KARLSKRONA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36878-2020</t>
        </is>
      </c>
      <c r="B258" s="1" t="n">
        <v>44053</v>
      </c>
      <c r="C258" s="1" t="n">
        <v>45875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37218-2020</t>
        </is>
      </c>
      <c r="B259" s="1" t="n">
        <v>44054</v>
      </c>
      <c r="C259" s="1" t="n">
        <v>45875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45875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45875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45875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45875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45875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45875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45875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45875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45875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45875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45875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45875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45875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45875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45875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45875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45875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45875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45875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45875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45875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45875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45875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45875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45875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45875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45875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45875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45875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45875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45875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45875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45875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45875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45875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45875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45875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45875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45875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45875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45875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45875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45875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45875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45875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45875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45875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45875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45875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45875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45875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45875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45875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45875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45875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45875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45875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45875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45875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45875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45875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45875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45875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45875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45875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45875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45875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45875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45875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45875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45875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45875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45875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45875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45875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45875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45875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45875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45875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45875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45875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45875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45875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45875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45875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45875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45875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45875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45875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45875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45875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45875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45875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45875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45875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45875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45875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45875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45875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45875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45875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45875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45875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45875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45875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45875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45875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45875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45875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45875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45875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45875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45875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45875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45875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45875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45875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45875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45875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45875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45875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45875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45875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45875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45875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45875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45875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45875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45875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45875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45875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45875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45875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45875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45875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45875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45875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45875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45875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45875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45875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45875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45875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45875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45875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45875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45875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45875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45875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45875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45875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45875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45875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45875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45875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45875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45875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45875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45875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45875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45875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45875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45875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45875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45875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45875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45875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45875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45875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45875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45875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45875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45875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45875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45875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45875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45875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45875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45875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45875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45875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45875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45875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45875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45875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45875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45875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45875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45875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45875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45875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45875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45875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45875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45875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45875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45875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45875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45875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45875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45875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45875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45875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45875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45875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45875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45875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45875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45875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45875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45875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45875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45875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45875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45875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45875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45875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45875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45875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45875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45875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45875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45875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45875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45875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45875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45875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45875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45875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45875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45875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45875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45875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45875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45875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45875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45875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45875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45875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45875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45875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45875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45875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45875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45875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45875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45875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45875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45875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45875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45875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45875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45875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45875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45875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45875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45875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45875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45875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45875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45875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45875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45875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45875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45875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45875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45875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45875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45875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45875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45875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45875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45875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45875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45875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45875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45875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45875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45875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45875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45875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45875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45875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45875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45875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45875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45875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45875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45875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45875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45875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45875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45875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45875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45875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45875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45875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45875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45875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45875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45875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45875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45875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45875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45875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45875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45875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45875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45875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45875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45875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45875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45875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45875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45875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45875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45875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45875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45875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45875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45875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45875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45875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45875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45875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45875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45875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45875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45875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45875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45875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45875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45875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45875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45875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45875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45875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45875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45875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45875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45875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45875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45875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45875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45875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45875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45875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45875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45875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45875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45875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45875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45875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45875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45875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45875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45875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45875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45875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45875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45875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45875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45875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45875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45875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45875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45875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45875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45875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45875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45875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45875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45875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45875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45875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45875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45875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45875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45875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45875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45875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45875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45875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45875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45875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45875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45875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45875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45875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45875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45875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45875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45875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45875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45875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45875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45875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45875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45875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45875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45875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45875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45875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45875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45875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45875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45875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45875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45875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45875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45875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45875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45875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45875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45875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45875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45875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45875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45875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45875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45875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45875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45875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45875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45875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45875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45875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45875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45875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45875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45875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45875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45875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45875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45875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45875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45875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45875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45875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45875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45875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45875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45875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45875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45875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45875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45875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45875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45875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45875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45875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45875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45875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45875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45875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45875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45875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45875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45875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45875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45875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45875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45875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45875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45875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45875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45875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45875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45875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45875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45875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45875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45875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45875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45875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45875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45875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45875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45875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45875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45875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45875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45875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45875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45875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45875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45875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45875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45875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45875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45875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45875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45875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45875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45875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45875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45875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45875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45875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45875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45875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45875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45875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45875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45875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45875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45875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45875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45875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45875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45875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45875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45875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45875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45875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45875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45875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45875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45875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45875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45875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45875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45875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45875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45875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45875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45875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45875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45875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45875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45875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45875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45875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45875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45875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45875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45875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45875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45875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45875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45875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45875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45875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45875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45875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45875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45875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45875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45875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45875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45875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45875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45875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45875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45875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45875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45875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45875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45875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45875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45875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45875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45875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45875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45875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45875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45875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45875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45875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45875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45875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45875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45875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45875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45875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45875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45875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45875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45875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45875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45875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45875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45875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45875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45875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45875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45875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45875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45875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45875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45875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45875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45875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45875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45875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45875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45875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45875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45875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45875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45875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45875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45875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45875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45875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45875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45875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45875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45875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45875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45875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45875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45875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45875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45875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45875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45875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45875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45875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45875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45875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45875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45875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45875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45875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45875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45875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45875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45875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45875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45875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45875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45875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45875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45875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45875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45875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45875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45875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45875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45875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45875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45875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45875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45875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45875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45875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45875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45875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45875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45875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45875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45875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45875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45875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45875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45875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45875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45875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45875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45875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45875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45875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45875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45875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45875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45875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45875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45875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45875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45875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45875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45875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45875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45875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45875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45875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45875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45875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45875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45875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45875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45875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45875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45875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45875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45875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45875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45875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45875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45875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45875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45875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45875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45875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45875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45875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45875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45875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45875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45875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45875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45875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45875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45875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45875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45875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45875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45875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45875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45875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45875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45875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45875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45875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45875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45875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45875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45875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45875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45875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45875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45875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45875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45875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45875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45875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45875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45875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45875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45875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45875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45875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45875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45875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45875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45875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45875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45875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45875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45875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45875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45875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45875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45875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45875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45875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45875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45875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45875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45875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45875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45875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45875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45875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45875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45875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45875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45875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45875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45875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45875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45875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45875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45875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45875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45875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45875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45875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45875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45875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45875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45875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45875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45875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45875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45875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45875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45875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45875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45875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45875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45875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45875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45875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45875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45875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45875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45875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45875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45875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45875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45875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45875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45875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45875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45875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45875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45875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45875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45875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45875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45875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45875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45875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45875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45875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45875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45875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45875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45875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45875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45875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45875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45875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45875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45875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45875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45875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45875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45875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45875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45875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45875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45875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45875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45875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45875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45875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45875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45875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45875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45875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45875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45875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45875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45875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45875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45875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45875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45875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45875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45875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45875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45875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45875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45875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45875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45875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45875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45875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45875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45875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45875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45875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45875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45875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45875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45875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45875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45875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45875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45875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45875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45875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45875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45875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45875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45875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45875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45875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45875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45875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45875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45875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45875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45875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45875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45875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45875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45875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45875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45875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45875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45875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45875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45875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45875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45875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45875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45875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45875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45875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45875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45875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45875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45875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45875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45875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45875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45875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45875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45875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45875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45875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45875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45875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45875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45875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45875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45875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45875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45875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45875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45875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45875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45875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45875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45875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45875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45875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45875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45875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45875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45875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45875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45875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45875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45875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45875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45875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45875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45875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45875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45875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45875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45875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45875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45875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45875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45875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45875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45875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45875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45875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45875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45875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45875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45875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45875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45875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45875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45875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45875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45875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45875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45875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45875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45875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45875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45875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45875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45875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45875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45875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45875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45875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45875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45875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45875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45875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45875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45875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45875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45875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45875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45875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45875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45875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45875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45875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45875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45875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45875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45875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45875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45875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45875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45875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45875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45875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45875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45875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45875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45875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45875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45875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45875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45875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45875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45875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45875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45875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45875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45875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45875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45875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45875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45875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45875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45875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45875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45875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45875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45875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45875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45875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45875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45875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45875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45875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45875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45875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45875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45875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45875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45875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45875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45875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45875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45875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45875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45875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45875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45875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45875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45875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45875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45875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45875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45875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45875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45875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45875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45875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45875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45875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45875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45875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45875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45875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45875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45875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45875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45875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45875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45875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45875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45875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45875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45875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45875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45875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45875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45875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45875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45875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45875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45875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45875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45875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45875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45875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45875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45875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45875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45875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45875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45875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45875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45875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45875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45875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45875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45875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45875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45875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45875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45875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45875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45875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45875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45875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45875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45875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45875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45875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45875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45875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45875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45875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45875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45875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45875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45875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45875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45875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45875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45875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45875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45875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45875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45875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45875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45875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45875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45875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45875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45875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45875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45875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45875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45875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45875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45875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45875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45875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45875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45875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45875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45875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45875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45875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45875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45875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45875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45875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45875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45875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45875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45875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45875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45875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45875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45875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45875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45875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45875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45875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45875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45875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45875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45875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45875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45875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45875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45875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45875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45875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45875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45875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45875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45875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45875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45875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45875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45875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45875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45875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45875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45875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45875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45875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45875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45875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45875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45875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45875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45875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45875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45875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45875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45875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45875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45875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45875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45875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45875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45875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45875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45875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45875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45875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45875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45875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45875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45875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45875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45875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45875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45875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45875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45875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45875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45875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45875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45875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45875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45875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45875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45875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45875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45875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45875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45875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45875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45875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45875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45875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45875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45875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45875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45875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45875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45875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45875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45875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45875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45875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45875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45875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45875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45875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45875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45875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45875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45875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45875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45875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45875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45875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45875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45875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45875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45875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45875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45875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45875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45875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45875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45875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45875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45875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45875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45875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45875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45875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45875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45875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45875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45875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45875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45875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45875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45875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45875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45875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45875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45875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45875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45875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45875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45875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45875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45875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45875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45875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45875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45875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45875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45875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45875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45875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45875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45875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45875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45875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45875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45875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45875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45875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45875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45875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45875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45875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45875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45875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45875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45875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45875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45875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45875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45875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45875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45875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45875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45875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45875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45875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45875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45875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45875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45875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45875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45875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45875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45875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45875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45875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45875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45875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45875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45875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45875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45875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45875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45875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45875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45875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45875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45875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45875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45875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45875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45875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45875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45875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45875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45875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45875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45875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45875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45875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45875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45875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45875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45875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45875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45875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45875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45875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45875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45875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45875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45875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45875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45875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45875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45875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45875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45875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45875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45875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45875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45875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45875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45875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45875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45875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45875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45875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45875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45875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45875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45875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45875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45875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45875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45875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45875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45875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45875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45875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45875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45875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45875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45875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30249-2025</t>
        </is>
      </c>
      <c r="B1647" s="1" t="n">
        <v>45827</v>
      </c>
      <c r="C1647" s="1" t="n">
        <v>45875</v>
      </c>
      <c r="D1647" t="inlineStr">
        <is>
          <t>BLEKINGE LÄN</t>
        </is>
      </c>
      <c r="E1647" t="inlineStr">
        <is>
          <t>KARLSKRONA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30246-2025</t>
        </is>
      </c>
      <c r="B1648" s="1" t="n">
        <v>45827</v>
      </c>
      <c r="C1648" s="1" t="n">
        <v>45875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30247-2025</t>
        </is>
      </c>
      <c r="B1649" s="1" t="n">
        <v>45827</v>
      </c>
      <c r="C1649" s="1" t="n">
        <v>45875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45875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31244-2025</t>
        </is>
      </c>
      <c r="B1651" s="1" t="n">
        <v>45832</v>
      </c>
      <c r="C1651" s="1" t="n">
        <v>45875</v>
      </c>
      <c r="D1651" t="inlineStr">
        <is>
          <t>BLEKINGE LÄN</t>
        </is>
      </c>
      <c r="E1651" t="inlineStr">
        <is>
          <t>KARLSKRONA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45875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45875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45875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45875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45875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32786-2025</t>
        </is>
      </c>
      <c r="B1657" s="1" t="n">
        <v>45839</v>
      </c>
      <c r="C1657" s="1" t="n">
        <v>45875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45875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32957-2025</t>
        </is>
      </c>
      <c r="B1659" s="1" t="n">
        <v>45839</v>
      </c>
      <c r="C1659" s="1" t="n">
        <v>45875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45875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45875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34323-2025</t>
        </is>
      </c>
      <c r="B1662" s="1" t="n">
        <v>45846</v>
      </c>
      <c r="C1662" s="1" t="n">
        <v>45875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34319-2025</t>
        </is>
      </c>
      <c r="B1663" s="1" t="n">
        <v>45846</v>
      </c>
      <c r="C1663" s="1" t="n">
        <v>45875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34609-2025</t>
        </is>
      </c>
      <c r="B1664" s="1" t="n">
        <v>45847</v>
      </c>
      <c r="C1664" s="1" t="n">
        <v>45875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34554-2025</t>
        </is>
      </c>
      <c r="B1665" s="1" t="n">
        <v>45847</v>
      </c>
      <c r="C1665" s="1" t="n">
        <v>45875</v>
      </c>
      <c r="D1665" t="inlineStr">
        <is>
          <t>BLEKINGE LÄN</t>
        </is>
      </c>
      <c r="E1665" t="inlineStr">
        <is>
          <t>KARLSKRONA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36765-2025</t>
        </is>
      </c>
      <c r="B1666" s="1" t="n">
        <v>45873</v>
      </c>
      <c r="C1666" s="1" t="n">
        <v>45875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2025-08-06T20:04:22Z</dcterms:created>
  <dcterms:modified xmlns:dcterms="http://purl.org/dc/terms/" xmlns:xsi="http://www.w3.org/2001/XMLSchema-instance" xsi:type="dcterms:W3CDTF">2025-08-06T20:04:23Z</dcterms:modified>
</cp:coreProperties>
</file>