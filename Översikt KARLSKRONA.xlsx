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46222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V2">
        <f>HYPERLINK("https://klasma.github.io/Logging_1080/artfynd/S 1000-2026 artfynd.xlsx", "S 1000-2026")</f>
        <v/>
      </c>
      <c r="W2">
        <f>HYPERLINK("https://klasma.github.io/Logging_1080/kartor/S 1000-2026 karta.png", "S 1000-2026")</f>
        <v/>
      </c>
      <c r="Y2">
        <f>HYPERLINK("https://klasma.github.io/Logging_1080/klagomål/S 1000-2026 FSC-klagomål.docx", "S 1000-2026")</f>
        <v/>
      </c>
      <c r="Z2">
        <f>HYPERLINK("https://klasma.github.io/Logging_1080/klagomålsmail/S 1000-2026 FSC-klagomål mail.docx", "S 1000-2026")</f>
        <v/>
      </c>
      <c r="AA2">
        <f>HYPERLINK("https://klasma.github.io/Logging_1080/tillsyn/S 1000-2026 tillsynsbegäran.docx", "S 1000-2026")</f>
        <v/>
      </c>
      <c r="AB2">
        <f>HYPERLINK("https://klasma.github.io/Logging_1080/tillsynsmail/S 1000-2026 tillsynsbegäran mail.docx", "S 1000-2026")</f>
        <v/>
      </c>
      <c r="AC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46222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s="2" t="inlineStr">
        <is>
          <t>Ask
Ekticka
Entita
Gulsparv
Järnsparv
Bokoxe
Grå skärelav
Guldlockmossa
Gulpudrad spiklav
Lönnlav
Rostfläck
Gröngöling
Kråka
Långbensgroda
Röd glada</t>
        </is>
      </c>
      <c r="V3">
        <f>HYPERLINK("https://klasma.github.io/Logging_1080/artfynd/A 29015-2026 artfynd.xlsx", "A 29015-2026")</f>
        <v/>
      </c>
      <c r="W3">
        <f>HYPERLINK("https://klasma.github.io/Logging_1080/kartor/A 29015-2026 karta.png", "A 29015-2026")</f>
        <v/>
      </c>
      <c r="Y3">
        <f>HYPERLINK("https://klasma.github.io/Logging_1080/klagomål/A 29015-2026 FSC-klagomål.docx", "A 29015-2026")</f>
        <v/>
      </c>
      <c r="Z3">
        <f>HYPERLINK("https://klasma.github.io/Logging_1080/klagomålsmail/A 29015-2026 FSC-klagomål mail.docx", "A 29015-2026")</f>
        <v/>
      </c>
      <c r="AA3">
        <f>HYPERLINK("https://klasma.github.io/Logging_1080/tillsyn/A 29015-2026 tillsynsbegäran.docx", "A 29015-2026")</f>
        <v/>
      </c>
      <c r="AB3">
        <f>HYPERLINK("https://klasma.github.io/Logging_1080/tillsynsmail/A 29015-2026 tillsynsbegäran mail.docx", "A 29015-2026")</f>
        <v/>
      </c>
      <c r="AC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46222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s="2" t="inlineStr">
        <is>
          <t>Hjärtstilla
Läderbagge
Tårticka
Entita
Mindre hackspett
Svart askbastborre
Ekoxe
Grå skärelav
Gröngöling
Skogsduva</t>
        </is>
      </c>
      <c r="V4">
        <f>HYPERLINK("https://klasma.github.io/Logging_1080/artfynd/S 6659-2021 artfynd.xlsx", "S 6659-2021")</f>
        <v/>
      </c>
      <c r="W4">
        <f>HYPERLINK("https://klasma.github.io/Logging_1080/kartor/S 6659-2021 karta.png", "S 6659-2021")</f>
        <v/>
      </c>
      <c r="Y4">
        <f>HYPERLINK("https://klasma.github.io/Logging_1080/klagomål/S 6659-2021 FSC-klagomål.docx", "S 6659-2021")</f>
        <v/>
      </c>
      <c r="Z4">
        <f>HYPERLINK("https://klasma.github.io/Logging_1080/klagomålsmail/S 6659-2021 FSC-klagomål mail.docx", "S 6659-2021")</f>
        <v/>
      </c>
      <c r="AA4">
        <f>HYPERLINK("https://klasma.github.io/Logging_1080/tillsyn/S 6659-2021 tillsynsbegäran.docx", "S 6659-2021")</f>
        <v/>
      </c>
      <c r="AB4">
        <f>HYPERLINK("https://klasma.github.io/Logging_1080/tillsynsmail/S 6659-2021 tillsynsbegäran mail.docx", "S 6659-2021")</f>
        <v/>
      </c>
      <c r="AC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46222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s="2" t="inlineStr">
        <is>
          <t>Skillerticka
Ekticka
Koralltaggsvamp
Stor sotdyna
Blåmossa
Hasselticka
Murgröna
Rutkremla</t>
        </is>
      </c>
      <c r="V5">
        <f>HYPERLINK("https://klasma.github.io/Logging_1080/artfynd/A 45735-2025 artfynd.xlsx", "A 45735-2025")</f>
        <v/>
      </c>
      <c r="W5">
        <f>HYPERLINK("https://klasma.github.io/Logging_1080/kartor/A 45735-2025 karta.png", "A 45735-2025")</f>
        <v/>
      </c>
      <c r="Y5">
        <f>HYPERLINK("https://klasma.github.io/Logging_1080/klagomål/A 45735-2025 FSC-klagomål.docx", "A 45735-2025")</f>
        <v/>
      </c>
      <c r="Z5">
        <f>HYPERLINK("https://klasma.github.io/Logging_1080/klagomålsmail/A 45735-2025 FSC-klagomål mail.docx", "A 45735-2025")</f>
        <v/>
      </c>
      <c r="AA5">
        <f>HYPERLINK("https://klasma.github.io/Logging_1080/tillsyn/A 45735-2025 tillsynsbegäran.docx", "A 45735-2025")</f>
        <v/>
      </c>
      <c r="AB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46222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s="2" t="inlineStr">
        <is>
          <t>Skillerticka
Bokvårtlav
Ekoxe
Trädporella
Blåsippa
Spillkråka
Havsörn
Utter</t>
        </is>
      </c>
      <c r="V6">
        <f>HYPERLINK("https://klasma.github.io/Logging_1080/artfynd/S 2527-2024 artfynd.xlsx", "S 2527-2024")</f>
        <v/>
      </c>
      <c r="W6">
        <f>HYPERLINK("https://klasma.github.io/Logging_1080/kartor/S 2527-2024 karta.png", "S 2527-2024")</f>
        <v/>
      </c>
      <c r="Y6">
        <f>HYPERLINK("https://klasma.github.io/Logging_1080/klagomål/S 2527-2024 FSC-klagomål.docx", "S 2527-2024")</f>
        <v/>
      </c>
      <c r="Z6">
        <f>HYPERLINK("https://klasma.github.io/Logging_1080/klagomålsmail/S 2527-2024 FSC-klagomål mail.docx", "S 2527-2024")</f>
        <v/>
      </c>
      <c r="AA6">
        <f>HYPERLINK("https://klasma.github.io/Logging_1080/tillsyn/S 2527-2024 tillsynsbegäran.docx", "S 2527-2024")</f>
        <v/>
      </c>
      <c r="AB6">
        <f>HYPERLINK("https://klasma.github.io/Logging_1080/tillsynsmail/S 2527-2024 tillsynsbegäran mail.docx", "S 2527-2024")</f>
        <v/>
      </c>
      <c r="AC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46222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s="2" t="inlineStr">
        <is>
          <t>Barbastell
Brunlångöra
Nordfladdermus
Dvärgpipistrell
Större brunfladdermus
Trollpipistrell
Vattenfladdermus</t>
        </is>
      </c>
      <c r="V7">
        <f>HYPERLINK("https://klasma.github.io/Logging_1080/artfynd/A 9457-2024 artfynd.xlsx", "A 9457-2024")</f>
        <v/>
      </c>
      <c r="W7">
        <f>HYPERLINK("https://klasma.github.io/Logging_1080/kartor/A 9457-2024 karta.png", "A 9457-2024")</f>
        <v/>
      </c>
      <c r="Y7">
        <f>HYPERLINK("https://klasma.github.io/Logging_1080/klagomål/A 9457-2024 FSC-klagomål.docx", "A 9457-2024")</f>
        <v/>
      </c>
      <c r="Z7">
        <f>HYPERLINK("https://klasma.github.io/Logging_1080/klagomålsmail/A 9457-2024 FSC-klagomål mail.docx", "A 9457-2024")</f>
        <v/>
      </c>
      <c r="AA7">
        <f>HYPERLINK("https://klasma.github.io/Logging_1080/tillsyn/A 9457-2024 tillsynsbegäran.docx", "A 9457-2024")</f>
        <v/>
      </c>
      <c r="AB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46222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s="2" t="inlineStr">
        <is>
          <t>Grusnejlika
Sandödla
Grönsångare
Kantarellvaxing
Kråka
Ärtsångare</t>
        </is>
      </c>
      <c r="V8">
        <f>HYPERLINK("https://klasma.github.io/Logging_1080/artfynd/A 61166-2025 artfynd.xlsx", "A 61166-2025")</f>
        <v/>
      </c>
      <c r="W8">
        <f>HYPERLINK("https://klasma.github.io/Logging_1080/kartor/A 61166-2025 karta.png", "A 61166-2025")</f>
        <v/>
      </c>
      <c r="Y8">
        <f>HYPERLINK("https://klasma.github.io/Logging_1080/klagomål/A 61166-2025 FSC-klagomål.docx", "A 61166-2025")</f>
        <v/>
      </c>
      <c r="Z8">
        <f>HYPERLINK("https://klasma.github.io/Logging_1080/klagomålsmail/A 61166-2025 FSC-klagomål mail.docx", "A 61166-2025")</f>
        <v/>
      </c>
      <c r="AA8">
        <f>HYPERLINK("https://klasma.github.io/Logging_1080/tillsyn/A 61166-2025 tillsynsbegäran.docx", "A 61166-2025")</f>
        <v/>
      </c>
      <c r="AB8">
        <f>HYPERLINK("https://klasma.github.io/Logging_1080/tillsynsmail/A 61166-2025 tillsynsbegäran mail.docx", "A 61166-2025")</f>
        <v/>
      </c>
      <c r="AC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46222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s="2" t="inlineStr">
        <is>
          <t>Sydpipistrell
Barbastell
Nordfladdermus
Dvärgpipistrell
Större brunfladdermus
Trollpipistrell</t>
        </is>
      </c>
      <c r="V9">
        <f>HYPERLINK("https://klasma.github.io/Logging_1080/artfynd/A 31117-2025 artfynd.xlsx", "A 31117-2025")</f>
        <v/>
      </c>
      <c r="W9">
        <f>HYPERLINK("https://klasma.github.io/Logging_1080/kartor/A 31117-2025 karta.png", "A 31117-2025")</f>
        <v/>
      </c>
      <c r="Y9">
        <f>HYPERLINK("https://klasma.github.io/Logging_1080/klagomål/A 31117-2025 FSC-klagomål.docx", "A 31117-2025")</f>
        <v/>
      </c>
      <c r="Z9">
        <f>HYPERLINK("https://klasma.github.io/Logging_1080/klagomålsmail/A 31117-2025 FSC-klagomål mail.docx", "A 31117-2025")</f>
        <v/>
      </c>
      <c r="AA9">
        <f>HYPERLINK("https://klasma.github.io/Logging_1080/tillsyn/A 31117-2025 tillsynsbegäran.docx", "A 31117-2025")</f>
        <v/>
      </c>
      <c r="AB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46222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s="2" t="inlineStr">
        <is>
          <t>Läderbagge
Vippärt
Murgröna
Ängsfingersvamp
Smånunneört
Tandrot</t>
        </is>
      </c>
      <c r="V10">
        <f>HYPERLINK("https://klasma.github.io/Logging_1080/artfynd/S 1893-2020 artfynd.xlsx", "S 1893-2020")</f>
        <v/>
      </c>
      <c r="W10">
        <f>HYPERLINK("https://klasma.github.io/Logging_1080/kartor/S 1893-2020 karta.png", "S 1893-2020")</f>
        <v/>
      </c>
      <c r="Y10">
        <f>HYPERLINK("https://klasma.github.io/Logging_1080/klagomål/S 1893-2020 FSC-klagomål.docx", "S 1893-2020")</f>
        <v/>
      </c>
      <c r="Z10">
        <f>HYPERLINK("https://klasma.github.io/Logging_1080/klagomålsmail/S 1893-2020 FSC-klagomål mail.docx", "S 1893-2020")</f>
        <v/>
      </c>
      <c r="AA10">
        <f>HYPERLINK("https://klasma.github.io/Logging_1080/tillsyn/S 1893-2020 tillsynsbegäran.docx", "S 1893-2020")</f>
        <v/>
      </c>
      <c r="AB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46222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s="2" t="inlineStr">
        <is>
          <t>Bokkantlav
Entita
Korallticka
Brandticka
Mandelriska
Rostfläck</t>
        </is>
      </c>
      <c r="V11">
        <f>HYPERLINK("https://klasma.github.io/Logging_1080/artfynd/S 3415-2025 artfynd.xlsx", "S 3415-2025")</f>
        <v/>
      </c>
      <c r="W11">
        <f>HYPERLINK("https://klasma.github.io/Logging_1080/kartor/S 3415-2025 karta.png", "S 3415-2025")</f>
        <v/>
      </c>
      <c r="Y11">
        <f>HYPERLINK("https://klasma.github.io/Logging_1080/klagomål/S 3415-2025 FSC-klagomål.docx", "S 3415-2025")</f>
        <v/>
      </c>
      <c r="Z11">
        <f>HYPERLINK("https://klasma.github.io/Logging_1080/klagomålsmail/S 3415-2025 FSC-klagomål mail.docx", "S 3415-2025")</f>
        <v/>
      </c>
      <c r="AA11">
        <f>HYPERLINK("https://klasma.github.io/Logging_1080/tillsyn/S 3415-2025 tillsynsbegäran.docx", "S 3415-2025")</f>
        <v/>
      </c>
      <c r="AB11">
        <f>HYPERLINK("https://klasma.github.io/Logging_1080/tillsynsmail/S 3415-2025 tillsynsbegäran mail.docx", "S 3415-2025")</f>
        <v/>
      </c>
      <c r="AC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46222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Ask
Skogsalm
Vippärt
Lönnlav
Skinnlav</t>
        </is>
      </c>
      <c r="V12">
        <f>HYPERLINK("https://klasma.github.io/Logging_1080/artfynd/A 46709-2021 artfynd.xlsx", "A 46709-2021")</f>
        <v/>
      </c>
      <c r="W12">
        <f>HYPERLINK("https://klasma.github.io/Logging_1080/kartor/A 46709-2021 karta.png", "A 46709-2021")</f>
        <v/>
      </c>
      <c r="Y12">
        <f>HYPERLINK("https://klasma.github.io/Logging_1080/klagomål/A 46709-2021 FSC-klagomål.docx", "A 46709-2021")</f>
        <v/>
      </c>
      <c r="Z12">
        <f>HYPERLINK("https://klasma.github.io/Logging_1080/klagomålsmail/A 46709-2021 FSC-klagomål mail.docx", "A 46709-2021")</f>
        <v/>
      </c>
      <c r="AA12">
        <f>HYPERLINK("https://klasma.github.io/Logging_1080/tillsyn/A 46709-2021 tillsynsbegäran.docx", "A 46709-2021")</f>
        <v/>
      </c>
      <c r="AB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46222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s="2" t="inlineStr">
        <is>
          <t>Gammelekslav
Liten sönderfallslav
Rosa skärelav
Grå skärelav
Rostfläck</t>
        </is>
      </c>
      <c r="V13">
        <f>HYPERLINK("https://klasma.github.io/Logging_1080/artfynd/A 43609-2025 artfynd.xlsx", "A 43609-2025")</f>
        <v/>
      </c>
      <c r="W13">
        <f>HYPERLINK("https://klasma.github.io/Logging_1080/kartor/A 43609-2025 karta.png", "A 43609-2025")</f>
        <v/>
      </c>
      <c r="Y13">
        <f>HYPERLINK("https://klasma.github.io/Logging_1080/klagomål/A 43609-2025 FSC-klagomål.docx", "A 43609-2025")</f>
        <v/>
      </c>
      <c r="Z13">
        <f>HYPERLINK("https://klasma.github.io/Logging_1080/klagomålsmail/A 43609-2025 FSC-klagomål mail.docx", "A 43609-2025")</f>
        <v/>
      </c>
      <c r="AA13">
        <f>HYPERLINK("https://klasma.github.io/Logging_1080/tillsyn/A 43609-2025 tillsynsbegäran.docx", "A 43609-2025")</f>
        <v/>
      </c>
      <c r="AB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46222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s="2" t="inlineStr">
        <is>
          <t>Hornuggla
Bokblombock
Gråbandad trägnagare
Slåtterfibbla
Ekoxe</t>
        </is>
      </c>
      <c r="V14">
        <f>HYPERLINK("https://klasma.github.io/Logging_1080/artfynd/S 8169-2021 artfynd.xlsx", "S 8169-2021")</f>
        <v/>
      </c>
      <c r="W14">
        <f>HYPERLINK("https://klasma.github.io/Logging_1080/kartor/S 8169-2021 karta.png", "S 8169-2021")</f>
        <v/>
      </c>
      <c r="Y14">
        <f>HYPERLINK("https://klasma.github.io/Logging_1080/klagomål/S 8169-2021 FSC-klagomål.docx", "S 8169-2021")</f>
        <v/>
      </c>
      <c r="Z14">
        <f>HYPERLINK("https://klasma.github.io/Logging_1080/klagomålsmail/S 8169-2021 FSC-klagomål mail.docx", "S 8169-2021")</f>
        <v/>
      </c>
      <c r="AA14">
        <f>HYPERLINK("https://klasma.github.io/Logging_1080/tillsyn/S 8169-2021 tillsynsbegäran.docx", "S 8169-2021")</f>
        <v/>
      </c>
      <c r="AB14">
        <f>HYPERLINK("https://klasma.github.io/Logging_1080/tillsynsmail/S 8169-2021 tillsynsbegäran mail.docx", "S 8169-2021")</f>
        <v/>
      </c>
      <c r="AC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46222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s="2" t="inlineStr">
        <is>
          <t>Jungfrulin
Solvända
Större vattensalamander
Fläcknycklar</t>
        </is>
      </c>
      <c r="V15">
        <f>HYPERLINK("https://klasma.github.io/Logging_1080/artfynd/A 45017-2025 artfynd.xlsx", "A 45017-2025")</f>
        <v/>
      </c>
      <c r="W15">
        <f>HYPERLINK("https://klasma.github.io/Logging_1080/kartor/A 45017-2025 karta.png", "A 45017-2025")</f>
        <v/>
      </c>
      <c r="Y15">
        <f>HYPERLINK("https://klasma.github.io/Logging_1080/klagomål/A 45017-2025 FSC-klagomål.docx", "A 45017-2025")</f>
        <v/>
      </c>
      <c r="Z15">
        <f>HYPERLINK("https://klasma.github.io/Logging_1080/klagomålsmail/A 45017-2025 FSC-klagomål mail.docx", "A 45017-2025")</f>
        <v/>
      </c>
      <c r="AA15">
        <f>HYPERLINK("https://klasma.github.io/Logging_1080/tillsyn/A 45017-2025 tillsynsbegäran.docx", "A 45017-2025")</f>
        <v/>
      </c>
      <c r="AB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46222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s="2" t="inlineStr">
        <is>
          <t>Fällmossa
Guldlockmossa
Havstulpanlav
Platt fjädermossa</t>
        </is>
      </c>
      <c r="V16">
        <f>HYPERLINK("https://klasma.github.io/Logging_1080/artfynd/A 59134-2025 artfynd.xlsx", "A 59134-2025")</f>
        <v/>
      </c>
      <c r="W16">
        <f>HYPERLINK("https://klasma.github.io/Logging_1080/kartor/A 59134-2025 karta.png", "A 59134-2025")</f>
        <v/>
      </c>
      <c r="Y16">
        <f>HYPERLINK("https://klasma.github.io/Logging_1080/klagomål/A 59134-2025 FSC-klagomål.docx", "A 59134-2025")</f>
        <v/>
      </c>
      <c r="Z16">
        <f>HYPERLINK("https://klasma.github.io/Logging_1080/klagomålsmail/A 59134-2025 FSC-klagomål mail.docx", "A 59134-2025")</f>
        <v/>
      </c>
      <c r="AA16">
        <f>HYPERLINK("https://klasma.github.io/Logging_1080/tillsyn/A 59134-2025 tillsynsbegäran.docx", "A 59134-2025")</f>
        <v/>
      </c>
      <c r="AB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46222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s="2" t="inlineStr">
        <is>
          <t>Igelkott
Nötkörvel
Ekoxe
Fjällig jordtunga</t>
        </is>
      </c>
      <c r="V17">
        <f>HYPERLINK("https://klasma.github.io/Logging_1080/artfynd/A 42540-2025 artfynd.xlsx", "A 42540-2025")</f>
        <v/>
      </c>
      <c r="W17">
        <f>HYPERLINK("https://klasma.github.io/Logging_1080/kartor/A 42540-2025 karta.png", "A 42540-2025")</f>
        <v/>
      </c>
      <c r="Y17">
        <f>HYPERLINK("https://klasma.github.io/Logging_1080/klagomål/A 42540-2025 FSC-klagomål.docx", "A 42540-2025")</f>
        <v/>
      </c>
      <c r="Z17">
        <f>HYPERLINK("https://klasma.github.io/Logging_1080/klagomålsmail/A 42540-2025 FSC-klagomål mail.docx", "A 42540-2025")</f>
        <v/>
      </c>
      <c r="AA17">
        <f>HYPERLINK("https://klasma.github.io/Logging_1080/tillsyn/A 42540-2025 tillsynsbegäran.docx", "A 42540-2025")</f>
        <v/>
      </c>
      <c r="AB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46222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s="2" t="inlineStr">
        <is>
          <t>Rödlånke
Hasselmus
Långbensgroda
Vanlig padda</t>
        </is>
      </c>
      <c r="V18">
        <f>HYPERLINK("https://klasma.github.io/Logging_1080/artfynd/A 16312-2026 artfynd.xlsx", "A 16312-2026")</f>
        <v/>
      </c>
      <c r="W18">
        <f>HYPERLINK("https://klasma.github.io/Logging_1080/kartor/A 16312-2026 karta.png", "A 16312-2026")</f>
        <v/>
      </c>
      <c r="Y18">
        <f>HYPERLINK("https://klasma.github.io/Logging_1080/klagomål/A 16312-2026 FSC-klagomål.docx", "A 16312-2026")</f>
        <v/>
      </c>
      <c r="Z18">
        <f>HYPERLINK("https://klasma.github.io/Logging_1080/klagomålsmail/A 16312-2026 FSC-klagomål mail.docx", "A 16312-2026")</f>
        <v/>
      </c>
      <c r="AA18">
        <f>HYPERLINK("https://klasma.github.io/Logging_1080/tillsyn/A 16312-2026 tillsynsbegäran.docx", "A 16312-2026")</f>
        <v/>
      </c>
      <c r="AB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46222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s="2" t="inlineStr">
        <is>
          <t>Trumgräshoppa
Liten myrlejonslända
Motaggsvamp
Silversmygare</t>
        </is>
      </c>
      <c r="V19">
        <f>HYPERLINK("https://klasma.github.io/Logging_1080/artfynd/S 5776-2021 artfynd.xlsx", "S 5776-2021")</f>
        <v/>
      </c>
      <c r="W19">
        <f>HYPERLINK("https://klasma.github.io/Logging_1080/kartor/S 5776-2021 karta.png", "S 5776-2021")</f>
        <v/>
      </c>
      <c r="Y19">
        <f>HYPERLINK("https://klasma.github.io/Logging_1080/klagomål/S 5776-2021 FSC-klagomål.docx", "S 5776-2021")</f>
        <v/>
      </c>
      <c r="Z19">
        <f>HYPERLINK("https://klasma.github.io/Logging_1080/klagomålsmail/S 5776-2021 FSC-klagomål mail.docx", "S 5776-2021")</f>
        <v/>
      </c>
      <c r="AA19">
        <f>HYPERLINK("https://klasma.github.io/Logging_1080/tillsyn/S 5776-2021 tillsynsbegäran.docx", "S 5776-2021")</f>
        <v/>
      </c>
      <c r="AB19">
        <f>HYPERLINK("https://klasma.github.io/Logging_1080/tillsynsmail/S 5776-2021 tillsynsbegäran mail.docx", "S 5776-2021")</f>
        <v/>
      </c>
    </row>
    <row r="20" ht="15" customHeight="1">
      <c r="A20" t="inlineStr">
        <is>
          <t>A 63862-2021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46222</v>
      </c>
      <c r="F20" t="inlineStr">
        <is>
          <t>BLEKINGE LÄN</t>
        </is>
      </c>
      <c r="G20" t="inlineStr">
        <is>
          <t>KARLSKRONA</t>
        </is>
      </c>
      <c r="I20" t="n">
        <v>1.8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Långbensgroda
Åkergroda
Vanlig padda</t>
        </is>
      </c>
      <c r="V20">
        <f>HYPERLINK("https://klasma.github.io/Logging_1080/artfynd/A 63862-2021 artfynd.xlsx", "A 63862-2021")</f>
        <v/>
      </c>
      <c r="W20">
        <f>HYPERLINK("https://klasma.github.io/Logging_1080/kartor/A 63862-2021 karta.png", "A 63862-2021")</f>
        <v/>
      </c>
      <c r="Y20">
        <f>HYPERLINK("https://klasma.github.io/Logging_1080/klagomål/A 63862-2021 FSC-klagomål.docx", "A 63862-2021")</f>
        <v/>
      </c>
      <c r="Z20">
        <f>HYPERLINK("https://klasma.github.io/Logging_1080/klagomålsmail/A 63862-2021 FSC-klagomål mail.docx", "A 63862-2021")</f>
        <v/>
      </c>
      <c r="AA20">
        <f>HYPERLINK("https://klasma.github.io/Logging_1080/tillsyn/A 63862-2021 tillsynsbegäran.docx", "A 63862-2021")</f>
        <v/>
      </c>
      <c r="AB20">
        <f>HYPERLINK("https://klasma.github.io/Logging_1080/tillsynsmail/A 63862-2021 tillsynsbegäran mail.docx", "A 63862-2021")</f>
        <v/>
      </c>
    </row>
    <row r="21" ht="15" customHeight="1">
      <c r="A21" t="inlineStr">
        <is>
          <t>A 6359-2022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44600</v>
      </c>
      <c r="E21" s="1" t="n">
        <v>46222</v>
      </c>
      <c r="F21" t="inlineStr">
        <is>
          <t>BLEKINGE LÄN</t>
        </is>
      </c>
      <c r="G21" t="inlineStr">
        <is>
          <t>KARLSKRONA</t>
        </is>
      </c>
      <c r="I21" t="n">
        <v>0.6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s="2" t="inlineStr">
        <is>
          <t>Långbensgroda
Större vattensalamander
Mindre vattensalamander</t>
        </is>
      </c>
      <c r="V21">
        <f>HYPERLINK("https://klasma.github.io/Logging_1080/artfynd/A 6359-2022 artfynd.xlsx", "A 6359-2022")</f>
        <v/>
      </c>
      <c r="W21">
        <f>HYPERLINK("https://klasma.github.io/Logging_1080/kartor/A 6359-2022 karta.png", "A 6359-2022")</f>
        <v/>
      </c>
      <c r="Y21">
        <f>HYPERLINK("https://klasma.github.io/Logging_1080/klagomål/A 6359-2022 FSC-klagomål.docx", "A 6359-2022")</f>
        <v/>
      </c>
      <c r="Z21">
        <f>HYPERLINK("https://klasma.github.io/Logging_1080/klagomålsmail/A 6359-2022 FSC-klagomål mail.docx", "A 6359-2022")</f>
        <v/>
      </c>
      <c r="AA21">
        <f>HYPERLINK("https://klasma.github.io/Logging_1080/tillsyn/A 6359-2022 tillsynsbegäran.docx", "A 6359-2022")</f>
        <v/>
      </c>
      <c r="AB21">
        <f>HYPERLINK("https://klasma.github.io/Logging_1080/tillsynsmail/A 6359-2022 tillsynsbegäran mail.docx", "A 6359-2022")</f>
        <v/>
      </c>
    </row>
    <row r="22" ht="15" customHeight="1">
      <c r="A22" t="inlineStr">
        <is>
          <t>A 5556-2023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44960</v>
      </c>
      <c r="E22" s="1" t="n">
        <v>46222</v>
      </c>
      <c r="F22" t="inlineStr">
        <is>
          <t>BLEKINGE LÄN</t>
        </is>
      </c>
      <c r="G22" t="inlineStr">
        <is>
          <t>KARLSKRONA</t>
        </is>
      </c>
      <c r="I22" t="n">
        <v>2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Rödlånke
Blåmossa
Långbensgroda</t>
        </is>
      </c>
      <c r="V22">
        <f>HYPERLINK("https://klasma.github.io/Logging_1080/artfynd/A 5556-2023 artfynd.xlsx", "A 5556-2023")</f>
        <v/>
      </c>
      <c r="W22">
        <f>HYPERLINK("https://klasma.github.io/Logging_1080/kartor/A 5556-2023 karta.png", "A 5556-2023")</f>
        <v/>
      </c>
      <c r="Y22">
        <f>HYPERLINK("https://klasma.github.io/Logging_1080/klagomål/A 5556-2023 FSC-klagomål.docx", "A 5556-2023")</f>
        <v/>
      </c>
      <c r="Z22">
        <f>HYPERLINK("https://klasma.github.io/Logging_1080/klagomålsmail/A 5556-2023 FSC-klagomål mail.docx", "A 5556-2023")</f>
        <v/>
      </c>
      <c r="AA22">
        <f>HYPERLINK("https://klasma.github.io/Logging_1080/tillsyn/A 5556-2023 tillsynsbegäran.docx", "A 5556-2023")</f>
        <v/>
      </c>
      <c r="AB22">
        <f>HYPERLINK("https://klasma.github.io/Logging_1080/tillsynsmail/A 5556-2023 tillsynsbegäran mail.docx", "A 5556-2023")</f>
        <v/>
      </c>
    </row>
    <row r="23" ht="15" customHeight="1">
      <c r="A23" t="inlineStr">
        <is>
          <t>A 26407-2026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46182</v>
      </c>
      <c r="E23" s="1" t="n">
        <v>46222</v>
      </c>
      <c r="F23" t="inlineStr">
        <is>
          <t>BLEKINGE LÄN</t>
        </is>
      </c>
      <c r="G23" t="inlineStr">
        <is>
          <t>KARLSKRONA</t>
        </is>
      </c>
      <c r="I23" t="n">
        <v>21.1</v>
      </c>
      <c r="J23" t="n">
        <v>1</v>
      </c>
      <c r="K23" t="n">
        <v>2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4</v>
      </c>
      <c r="U23" s="2" t="inlineStr">
        <is>
          <t>Ask
Ekoxe
Myskmadra</t>
        </is>
      </c>
      <c r="V23">
        <f>HYPERLINK("https://klasma.github.io/Logging_1080/artfynd/A 26407-2026 artfynd.xlsx", "A 26407-2026")</f>
        <v/>
      </c>
      <c r="W23">
        <f>HYPERLINK("https://klasma.github.io/Logging_1080/kartor/A 26407-2026 karta.png", "A 26407-2026")</f>
        <v/>
      </c>
      <c r="Y23">
        <f>HYPERLINK("https://klasma.github.io/Logging_1080/klagomål/A 26407-2026 FSC-klagomål.docx", "A 26407-2026")</f>
        <v/>
      </c>
      <c r="Z23">
        <f>HYPERLINK("https://klasma.github.io/Logging_1080/klagomålsmail/A 26407-2026 FSC-klagomål mail.docx", "A 26407-2026")</f>
        <v/>
      </c>
      <c r="AA23">
        <f>HYPERLINK("https://klasma.github.io/Logging_1080/tillsyn/A 26407-2026 tillsynsbegäran.docx", "A 26407-2026")</f>
        <v/>
      </c>
      <c r="AB23">
        <f>HYPERLINK("https://klasma.github.io/Logging_1080/tillsynsmail/A 26407-2026 tillsynsbegäran mail.docx", "A 26407-2026")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46222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s="2" t="inlineStr">
        <is>
          <t>Långbensgroda
Större vattensalamander
Åkergroda</t>
        </is>
      </c>
      <c r="V24">
        <f>HYPERLINK("https://klasma.github.io/Logging_1080/artfynd/S 360-2026 artfynd.xlsx", "S 360-2026")</f>
        <v/>
      </c>
      <c r="W24">
        <f>HYPERLINK("https://klasma.github.io/Logging_1080/kartor/S 360-2026 karta.png", "S 360-2026")</f>
        <v/>
      </c>
      <c r="Y24">
        <f>HYPERLINK("https://klasma.github.io/Logging_1080/klagomål/S 360-2026 FSC-klagomål.docx", "S 360-2026")</f>
        <v/>
      </c>
      <c r="Z24">
        <f>HYPERLINK("https://klasma.github.io/Logging_1080/klagomålsmail/S 360-2026 FSC-klagomål mail.docx", "S 360-2026")</f>
        <v/>
      </c>
      <c r="AA24">
        <f>HYPERLINK("https://klasma.github.io/Logging_1080/tillsyn/S 360-2026 tillsynsbegäran.docx", "S 360-2026")</f>
        <v/>
      </c>
      <c r="AB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46222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Ask
Långbensgroda
Större vattensalamander</t>
        </is>
      </c>
      <c r="V25">
        <f>HYPERLINK("https://klasma.github.io/Logging_1080/artfynd/S 858-2026 artfynd.xlsx", "S 858-2026")</f>
        <v/>
      </c>
      <c r="W25">
        <f>HYPERLINK("https://klasma.github.io/Logging_1080/kartor/S 858-2026 karta.png", "S 858-2026")</f>
        <v/>
      </c>
      <c r="Y25">
        <f>HYPERLINK("https://klasma.github.io/Logging_1080/klagomål/S 858-2026 FSC-klagomål.docx", "S 858-2026")</f>
        <v/>
      </c>
      <c r="Z25">
        <f>HYPERLINK("https://klasma.github.io/Logging_1080/klagomålsmail/S 858-2026 FSC-klagomål mail.docx", "S 858-2026")</f>
        <v/>
      </c>
      <c r="AA25">
        <f>HYPERLINK("https://klasma.github.io/Logging_1080/tillsyn/S 858-2026 tillsynsbegäran.docx", "S 858-2026")</f>
        <v/>
      </c>
      <c r="AB25">
        <f>HYPERLINK("https://klasma.github.io/Logging_1080/tillsynsmail/S 858-2026 tillsynsbegäran mail.docx", "S 858-2026")</f>
        <v/>
      </c>
    </row>
    <row r="26" ht="15" customHeight="1">
      <c r="A26" t="inlineStr">
        <is>
          <t>A 17849-2023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45037</v>
      </c>
      <c r="E26" s="1" t="n">
        <v>46222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10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s="2" t="inlineStr">
        <is>
          <t>Igelkott
Vätteros</t>
        </is>
      </c>
      <c r="V26">
        <f>HYPERLINK("https://klasma.github.io/Logging_1080/artfynd/A 17849-2023 artfynd.xlsx", "A 17849-2023")</f>
        <v/>
      </c>
      <c r="W26">
        <f>HYPERLINK("https://klasma.github.io/Logging_1080/kartor/A 17849-2023 karta.png", "A 17849-2023")</f>
        <v/>
      </c>
      <c r="Y26">
        <f>HYPERLINK("https://klasma.github.io/Logging_1080/klagomål/A 17849-2023 FSC-klagomål.docx", "A 17849-2023")</f>
        <v/>
      </c>
      <c r="Z26">
        <f>HYPERLINK("https://klasma.github.io/Logging_1080/klagomålsmail/A 17849-2023 FSC-klagomål mail.docx", "A 17849-2023")</f>
        <v/>
      </c>
      <c r="AA26">
        <f>HYPERLINK("https://klasma.github.io/Logging_1080/tillsyn/A 17849-2023 tillsynsbegäran.docx", "A 17849-2023")</f>
        <v/>
      </c>
      <c r="AB26">
        <f>HYPERLINK("https://klasma.github.io/Logging_1080/tillsynsmail/A 17849-2023 tillsynsbegäran mail.docx", "A 17849-2023")</f>
        <v/>
      </c>
    </row>
    <row r="27" ht="15" customHeight="1">
      <c r="A27" t="inlineStr">
        <is>
          <t>A 41421-2025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45901</v>
      </c>
      <c r="E27" s="1" t="n">
        <v>46222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4.2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4</v>
      </c>
      <c r="U27" s="2" t="inlineStr">
        <is>
          <t>Sydlig sotticka
Ekoxe</t>
        </is>
      </c>
      <c r="V27">
        <f>HYPERLINK("https://klasma.github.io/Logging_1080/artfynd/A 41421-2025 artfynd.xlsx", "A 41421-2025")</f>
        <v/>
      </c>
      <c r="W27">
        <f>HYPERLINK("https://klasma.github.io/Logging_1080/kartor/A 41421-2025 karta.png", "A 41421-2025")</f>
        <v/>
      </c>
      <c r="Y27">
        <f>HYPERLINK("https://klasma.github.io/Logging_1080/klagomål/A 41421-2025 FSC-klagomål.docx", "A 41421-2025")</f>
        <v/>
      </c>
      <c r="Z27">
        <f>HYPERLINK("https://klasma.github.io/Logging_1080/klagomålsmail/A 41421-2025 FSC-klagomål mail.docx", "A 41421-2025")</f>
        <v/>
      </c>
      <c r="AA27">
        <f>HYPERLINK("https://klasma.github.io/Logging_1080/tillsyn/A 41421-2025 tillsynsbegäran.docx", "A 41421-2025")</f>
        <v/>
      </c>
      <c r="AB27">
        <f>HYPERLINK("https://klasma.github.io/Logging_1080/tillsynsmail/A 41421-2025 tillsynsbegäran mail.docx", "A 41421-2025")</f>
        <v/>
      </c>
    </row>
    <row r="28" ht="15" customHeight="1">
      <c r="A28" t="inlineStr">
        <is>
          <t>A 691-2023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44930</v>
      </c>
      <c r="E28" s="1" t="n">
        <v>46222</v>
      </c>
      <c r="F28" t="inlineStr">
        <is>
          <t>BLEKINGE LÄN</t>
        </is>
      </c>
      <c r="G28" t="inlineStr">
        <is>
          <t>KARLSKRONA</t>
        </is>
      </c>
      <c r="I28" t="n">
        <v>3.4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s="2" t="inlineStr">
        <is>
          <t>Kavelhirs
Mjukdån</t>
        </is>
      </c>
      <c r="V28">
        <f>HYPERLINK("https://klasma.github.io/Logging_1080/artfynd/A 691-2023 artfynd.xlsx", "A 691-2023")</f>
        <v/>
      </c>
      <c r="W28">
        <f>HYPERLINK("https://klasma.github.io/Logging_1080/kartor/A 691-2023 karta.png", "A 691-2023")</f>
        <v/>
      </c>
      <c r="Y28">
        <f>HYPERLINK("https://klasma.github.io/Logging_1080/klagomål/A 691-2023 FSC-klagomål.docx", "A 691-2023")</f>
        <v/>
      </c>
      <c r="Z28">
        <f>HYPERLINK("https://klasma.github.io/Logging_1080/klagomålsmail/A 691-2023 FSC-klagomål mail.docx", "A 691-2023")</f>
        <v/>
      </c>
      <c r="AA28">
        <f>HYPERLINK("https://klasma.github.io/Logging_1080/tillsyn/A 691-2023 tillsynsbegäran.docx", "A 691-2023")</f>
        <v/>
      </c>
      <c r="AB28">
        <f>HYPERLINK("https://klasma.github.io/Logging_1080/tillsynsmail/A 691-2023 tillsynsbegäran mail.docx", "A 691-2023")</f>
        <v/>
      </c>
    </row>
    <row r="29" ht="15" customHeight="1">
      <c r="A29" t="inlineStr">
        <is>
          <t>A 25455-2023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46222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3</v>
      </c>
      <c r="U29" s="2" t="inlineStr">
        <is>
          <t>Mindre bastardsvärmare
Slåtterfibbla</t>
        </is>
      </c>
      <c r="V29">
        <f>HYPERLINK("https://klasma.github.io/Logging_1080/artfynd/A 25455-2023 artfynd.xlsx", "A 25455-2023")</f>
        <v/>
      </c>
      <c r="W29">
        <f>HYPERLINK("https://klasma.github.io/Logging_1080/kartor/A 25455-2023 karta.png", "A 25455-2023")</f>
        <v/>
      </c>
      <c r="Y29">
        <f>HYPERLINK("https://klasma.github.io/Logging_1080/klagomål/A 25455-2023 FSC-klagomål.docx", "A 25455-2023")</f>
        <v/>
      </c>
      <c r="Z29">
        <f>HYPERLINK("https://klasma.github.io/Logging_1080/klagomålsmail/A 25455-2023 FSC-klagomål mail.docx", "A 25455-2023")</f>
        <v/>
      </c>
      <c r="AA29">
        <f>HYPERLINK("https://klasma.github.io/Logging_1080/tillsyn/A 25455-2023 tillsynsbegäran.docx", "A 25455-2023")</f>
        <v/>
      </c>
      <c r="AB29">
        <f>HYPERLINK("https://klasma.github.io/Logging_1080/tillsynsmail/A 25455-2023 tillsynsbegäran mail.docx", "A 25455-2023")</f>
        <v/>
      </c>
    </row>
    <row r="30" ht="15" customHeight="1">
      <c r="A30" t="inlineStr">
        <is>
          <t>A 14176-2024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45393</v>
      </c>
      <c r="E30" s="1" t="n">
        <v>46222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Långbensgroda
Mindre vattensalamander</t>
        </is>
      </c>
      <c r="V30">
        <f>HYPERLINK("https://klasma.github.io/Logging_1080/artfynd/A 14176-2024 artfynd.xlsx", "A 14176-2024")</f>
        <v/>
      </c>
      <c r="W30">
        <f>HYPERLINK("https://klasma.github.io/Logging_1080/kartor/A 14176-2024 karta.png", "A 14176-2024")</f>
        <v/>
      </c>
      <c r="Y30">
        <f>HYPERLINK("https://klasma.github.io/Logging_1080/klagomål/A 14176-2024 FSC-klagomål.docx", "A 14176-2024")</f>
        <v/>
      </c>
      <c r="Z30">
        <f>HYPERLINK("https://klasma.github.io/Logging_1080/klagomålsmail/A 14176-2024 FSC-klagomål mail.docx", "A 14176-2024")</f>
        <v/>
      </c>
      <c r="AA30">
        <f>HYPERLINK("https://klasma.github.io/Logging_1080/tillsyn/A 14176-2024 tillsynsbegäran.docx", "A 14176-2024")</f>
        <v/>
      </c>
      <c r="AB30">
        <f>HYPERLINK("https://klasma.github.io/Logging_1080/tillsynsmail/A 14176-2024 tillsynsbegäran mail.docx", "A 14176-2024")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46222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s="2" t="inlineStr">
        <is>
          <t>Ekträdlöpare
Huggorm</t>
        </is>
      </c>
      <c r="V31">
        <f>HYPERLINK("https://klasma.github.io/Logging_1080/artfynd/S 388-2025 artfynd.xlsx", "S 388-2025")</f>
        <v/>
      </c>
      <c r="W31">
        <f>HYPERLINK("https://klasma.github.io/Logging_1080/kartor/S 388-2025 karta.png", "S 388-2025")</f>
        <v/>
      </c>
      <c r="Y31">
        <f>HYPERLINK("https://klasma.github.io/Logging_1080/klagomål/S 388-2025 FSC-klagomål.docx", "S 388-2025")</f>
        <v/>
      </c>
      <c r="Z31">
        <f>HYPERLINK("https://klasma.github.io/Logging_1080/klagomålsmail/S 388-2025 FSC-klagomål mail.docx", "S 388-2025")</f>
        <v/>
      </c>
      <c r="AA31">
        <f>HYPERLINK("https://klasma.github.io/Logging_1080/tillsyn/S 388-2025 tillsynsbegäran.docx", "S 388-2025")</f>
        <v/>
      </c>
      <c r="AB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46222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s="2" t="inlineStr">
        <is>
          <t>Ask
Blanksvart trämyra</t>
        </is>
      </c>
      <c r="V32">
        <f>HYPERLINK("https://klasma.github.io/Logging_1080/artfynd/S 528-2022 artfynd.xlsx", "S 528-2022")</f>
        <v/>
      </c>
      <c r="W32">
        <f>HYPERLINK("https://klasma.github.io/Logging_1080/kartor/S 528-2022 karta.png", "S 528-2022")</f>
        <v/>
      </c>
      <c r="Y32">
        <f>HYPERLINK("https://klasma.github.io/Logging_1080/klagomål/S 528-2022 FSC-klagomål.docx", "S 528-2022")</f>
        <v/>
      </c>
      <c r="Z32">
        <f>HYPERLINK("https://klasma.github.io/Logging_1080/klagomålsmail/S 528-2022 FSC-klagomål mail.docx", "S 528-2022")</f>
        <v/>
      </c>
      <c r="AA32">
        <f>HYPERLINK("https://klasma.github.io/Logging_1080/tillsyn/S 528-2022 tillsynsbegäran.docx", "S 528-2022")</f>
        <v/>
      </c>
      <c r="AB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46222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Slåtterfibbla
Skogsknipprot</t>
        </is>
      </c>
      <c r="V33">
        <f>HYPERLINK("https://klasma.github.io/Logging_1080/artfynd/S 736-2023 artfynd.xlsx", "S 736-2023")</f>
        <v/>
      </c>
      <c r="W33">
        <f>HYPERLINK("https://klasma.github.io/Logging_1080/kartor/S 736-2023 karta.png", "S 736-2023")</f>
        <v/>
      </c>
      <c r="Y33">
        <f>HYPERLINK("https://klasma.github.io/Logging_1080/klagomål/S 736-2023 FSC-klagomål.docx", "S 736-2023")</f>
        <v/>
      </c>
      <c r="Z33">
        <f>HYPERLINK("https://klasma.github.io/Logging_1080/klagomålsmail/S 736-2023 FSC-klagomål mail.docx", "S 736-2023")</f>
        <v/>
      </c>
      <c r="AA33">
        <f>HYPERLINK("https://klasma.github.io/Logging_1080/tillsyn/S 736-2023 tillsynsbegäran.docx", "S 736-2023")</f>
        <v/>
      </c>
      <c r="AB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46222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s="2" t="inlineStr">
        <is>
          <t>Guldlockmossa
Safsa</t>
        </is>
      </c>
      <c r="V34">
        <f>HYPERLINK("https://klasma.github.io/Logging_1080/artfynd/S 3746-2022 artfynd.xlsx", "S 3746-2022")</f>
        <v/>
      </c>
      <c r="W34">
        <f>HYPERLINK("https://klasma.github.io/Logging_1080/kartor/S 3746-2022 karta.png", "S 3746-2022")</f>
        <v/>
      </c>
      <c r="Y34">
        <f>HYPERLINK("https://klasma.github.io/Logging_1080/klagomål/S 3746-2022 FSC-klagomål.docx", "S 3746-2022")</f>
        <v/>
      </c>
      <c r="Z34">
        <f>HYPERLINK("https://klasma.github.io/Logging_1080/klagomålsmail/S 3746-2022 FSC-klagomål mail.docx", "S 3746-2022")</f>
        <v/>
      </c>
      <c r="AA34">
        <f>HYPERLINK("https://klasma.github.io/Logging_1080/tillsyn/S 3746-2022 tillsynsbegäran.docx", "S 3746-2022")</f>
        <v/>
      </c>
      <c r="AB34">
        <f>HYPERLINK("https://klasma.github.io/Logging_1080/tillsynsmail/S 3746-2022 tillsynsbegäran mail.docx", "S 3746-2022")</f>
        <v/>
      </c>
    </row>
    <row r="35" ht="15" customHeight="1">
      <c r="A35" t="inlineStr">
        <is>
          <t>A 38415-2021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44406</v>
      </c>
      <c r="E35" s="1" t="n">
        <v>46222</v>
      </c>
      <c r="F35" t="inlineStr">
        <is>
          <t>BLEKINGE LÄN</t>
        </is>
      </c>
      <c r="G35" t="inlineStr">
        <is>
          <t>KARLSKRONA</t>
        </is>
      </c>
      <c r="I35" t="n">
        <v>5.4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Ekticka</t>
        </is>
      </c>
      <c r="V35">
        <f>HYPERLINK("https://klasma.github.io/Logging_1080/artfynd/A 38415-2021 artfynd.xlsx", "A 38415-2021")</f>
        <v/>
      </c>
      <c r="W35">
        <f>HYPERLINK("https://klasma.github.io/Logging_1080/kartor/A 38415-2021 karta.png", "A 38415-2021")</f>
        <v/>
      </c>
      <c r="Y35">
        <f>HYPERLINK("https://klasma.github.io/Logging_1080/klagomål/A 38415-2021 FSC-klagomål.docx", "A 38415-2021")</f>
        <v/>
      </c>
      <c r="Z35">
        <f>HYPERLINK("https://klasma.github.io/Logging_1080/klagomålsmail/A 38415-2021 FSC-klagomål mail.docx", "A 38415-2021")</f>
        <v/>
      </c>
      <c r="AA35">
        <f>HYPERLINK("https://klasma.github.io/Logging_1080/tillsyn/A 38415-2021 tillsynsbegäran.docx", "A 38415-2021")</f>
        <v/>
      </c>
      <c r="AB35">
        <f>HYPERLINK("https://klasma.github.io/Logging_1080/tillsynsmail/A 38415-2021 tillsynsbegäran mail.docx", "A 38415-2021")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46222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s="2" t="inlineStr">
        <is>
          <t>Krusfrö</t>
        </is>
      </c>
      <c r="V36">
        <f>HYPERLINK("https://klasma.github.io/Logging_1080/artfynd/A 61190-2021 artfynd.xlsx", "A 61190-2021")</f>
        <v/>
      </c>
      <c r="W36">
        <f>HYPERLINK("https://klasma.github.io/Logging_1080/kartor/A 61190-2021 karta.png", "A 61190-2021")</f>
        <v/>
      </c>
      <c r="Y36">
        <f>HYPERLINK("https://klasma.github.io/Logging_1080/klagomål/A 61190-2021 FSC-klagomål.docx", "A 61190-2021")</f>
        <v/>
      </c>
      <c r="Z36">
        <f>HYPERLINK("https://klasma.github.io/Logging_1080/klagomålsmail/A 61190-2021 FSC-klagomål mail.docx", "A 61190-2021")</f>
        <v/>
      </c>
      <c r="AA36">
        <f>HYPERLINK("https://klasma.github.io/Logging_1080/tillsyn/A 61190-2021 tillsynsbegäran.docx", "A 61190-2021")</f>
        <v/>
      </c>
      <c r="AB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46222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Ekoxe</t>
        </is>
      </c>
      <c r="V37">
        <f>HYPERLINK("https://klasma.github.io/Logging_1080/artfynd/A 45615-2021 artfynd.xlsx", "A 45615-2021")</f>
        <v/>
      </c>
      <c r="W37">
        <f>HYPERLINK("https://klasma.github.io/Logging_1080/kartor/A 45615-2021 karta.png", "A 45615-2021")</f>
        <v/>
      </c>
      <c r="Y37">
        <f>HYPERLINK("https://klasma.github.io/Logging_1080/klagomål/A 45615-2021 FSC-klagomål.docx", "A 45615-2021")</f>
        <v/>
      </c>
      <c r="Z37">
        <f>HYPERLINK("https://klasma.github.io/Logging_1080/klagomålsmail/A 45615-2021 FSC-klagomål mail.docx", "A 45615-2021")</f>
        <v/>
      </c>
      <c r="AA37">
        <f>HYPERLINK("https://klasma.github.io/Logging_1080/tillsyn/A 45615-2021 tillsynsbegäran.docx", "A 45615-2021")</f>
        <v/>
      </c>
      <c r="AB37">
        <f>HYPERLINK("https://klasma.github.io/Logging_1080/tillsynsmail/A 45615-2021 tillsynsbegäran mail.docx", "A 45615-2021")</f>
        <v/>
      </c>
    </row>
    <row r="38" ht="15" customHeight="1">
      <c r="A38" t="inlineStr">
        <is>
          <t>A 69282-2021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44531</v>
      </c>
      <c r="E38" s="1" t="n">
        <v>46222</v>
      </c>
      <c r="F38" t="inlineStr">
        <is>
          <t>BLEKINGE LÄN</t>
        </is>
      </c>
      <c r="G38" t="inlineStr">
        <is>
          <t>KARLSKRONA</t>
        </is>
      </c>
      <c r="I38" t="n">
        <v>5.2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Tibast</t>
        </is>
      </c>
      <c r="V38">
        <f>HYPERLINK("https://klasma.github.io/Logging_1080/artfynd/A 69282-2021 artfynd.xlsx", "A 69282-2021")</f>
        <v/>
      </c>
      <c r="W38">
        <f>HYPERLINK("https://klasma.github.io/Logging_1080/kartor/A 69282-2021 karta.png", "A 69282-2021")</f>
        <v/>
      </c>
      <c r="Y38">
        <f>HYPERLINK("https://klasma.github.io/Logging_1080/klagomål/A 69282-2021 FSC-klagomål.docx", "A 69282-2021")</f>
        <v/>
      </c>
      <c r="Z38">
        <f>HYPERLINK("https://klasma.github.io/Logging_1080/klagomålsmail/A 69282-2021 FSC-klagomål mail.docx", "A 69282-2021")</f>
        <v/>
      </c>
      <c r="AA38">
        <f>HYPERLINK("https://klasma.github.io/Logging_1080/tillsyn/A 69282-2021 tillsynsbegäran.docx", "A 69282-2021")</f>
        <v/>
      </c>
      <c r="AB38">
        <f>HYPERLINK("https://klasma.github.io/Logging_1080/tillsynsmail/A 69282-2021 tillsynsbegäran mail.docx", "A 69282-2021")</f>
        <v/>
      </c>
    </row>
    <row r="39" ht="15" customHeight="1">
      <c r="A39" t="inlineStr">
        <is>
          <t>A 52837-2021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44467</v>
      </c>
      <c r="E39" s="1" t="n">
        <v>46222</v>
      </c>
      <c r="F39" t="inlineStr">
        <is>
          <t>BLEKINGE LÄN</t>
        </is>
      </c>
      <c r="G39" t="inlineStr">
        <is>
          <t>KARLSKRONA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Vanlig groda</t>
        </is>
      </c>
      <c r="V39">
        <f>HYPERLINK("https://klasma.github.io/Logging_1080/artfynd/A 52837-2021 artfynd.xlsx", "A 52837-2021")</f>
        <v/>
      </c>
      <c r="W39">
        <f>HYPERLINK("https://klasma.github.io/Logging_1080/kartor/A 52837-2021 karta.png", "A 52837-2021")</f>
        <v/>
      </c>
      <c r="Y39">
        <f>HYPERLINK("https://klasma.github.io/Logging_1080/klagomål/A 52837-2021 FSC-klagomål.docx", "A 52837-2021")</f>
        <v/>
      </c>
      <c r="Z39">
        <f>HYPERLINK("https://klasma.github.io/Logging_1080/klagomålsmail/A 52837-2021 FSC-klagomål mail.docx", "A 52837-2021")</f>
        <v/>
      </c>
      <c r="AA39">
        <f>HYPERLINK("https://klasma.github.io/Logging_1080/tillsyn/A 52837-2021 tillsynsbegäran.docx", "A 52837-2021")</f>
        <v/>
      </c>
      <c r="AB39">
        <f>HYPERLINK("https://klasma.github.io/Logging_1080/tillsynsmail/A 52837-2021 tillsynsbegäran mail.docx", "A 52837-2021")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46222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Backsippa</t>
        </is>
      </c>
      <c r="V40">
        <f>HYPERLINK("https://klasma.github.io/Logging_1080/artfynd/A 19600-2023 artfynd.xlsx", "A 19600-2023")</f>
        <v/>
      </c>
      <c r="W40">
        <f>HYPERLINK("https://klasma.github.io/Logging_1080/kartor/A 19600-2023 karta.png", "A 19600-2023")</f>
        <v/>
      </c>
      <c r="Y40">
        <f>HYPERLINK("https://klasma.github.io/Logging_1080/klagomål/A 19600-2023 FSC-klagomål.docx", "A 19600-2023")</f>
        <v/>
      </c>
      <c r="Z40">
        <f>HYPERLINK("https://klasma.github.io/Logging_1080/klagomålsmail/A 19600-2023 FSC-klagomål mail.docx", "A 19600-2023")</f>
        <v/>
      </c>
      <c r="AA40">
        <f>HYPERLINK("https://klasma.github.io/Logging_1080/tillsyn/A 19600-2023 tillsynsbegäran.docx", "A 19600-2023")</f>
        <v/>
      </c>
      <c r="AB40">
        <f>HYPERLINK("https://klasma.github.io/Logging_1080/tillsynsmail/A 19600-2023 tillsynsbegäran mail.docx", "A 19600-2023")</f>
        <v/>
      </c>
    </row>
    <row r="41" ht="15" customHeight="1">
      <c r="A41" t="inlineStr">
        <is>
          <t>A 41867-2024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45561</v>
      </c>
      <c r="E41" s="1" t="n">
        <v>46222</v>
      </c>
      <c r="F41" t="inlineStr">
        <is>
          <t>BLEKINGE LÄN</t>
        </is>
      </c>
      <c r="G41" t="inlineStr">
        <is>
          <t>KARLSKRONA</t>
        </is>
      </c>
      <c r="I41" t="n">
        <v>11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s="2" t="inlineStr">
        <is>
          <t>Ekoxe</t>
        </is>
      </c>
      <c r="V41">
        <f>HYPERLINK("https://klasma.github.io/Logging_1080/artfynd/A 41867-2024 artfynd.xlsx", "A 41867-2024")</f>
        <v/>
      </c>
      <c r="W41">
        <f>HYPERLINK("https://klasma.github.io/Logging_1080/kartor/A 41867-2024 karta.png", "A 41867-2024")</f>
        <v/>
      </c>
      <c r="Y41">
        <f>HYPERLINK("https://klasma.github.io/Logging_1080/klagomål/A 41867-2024 FSC-klagomål.docx", "A 41867-2024")</f>
        <v/>
      </c>
      <c r="Z41">
        <f>HYPERLINK("https://klasma.github.io/Logging_1080/klagomålsmail/A 41867-2024 FSC-klagomål mail.docx", "A 41867-2024")</f>
        <v/>
      </c>
      <c r="AA41">
        <f>HYPERLINK("https://klasma.github.io/Logging_1080/tillsyn/A 41867-2024 tillsynsbegäran.docx", "A 41867-2024")</f>
        <v/>
      </c>
      <c r="AB41">
        <f>HYPERLINK("https://klasma.github.io/Logging_1080/tillsynsmail/A 41867-2024 tillsynsbegäran mail.docx", "A 41867-2024")</f>
        <v/>
      </c>
    </row>
    <row r="42" ht="15" customHeight="1">
      <c r="A42" t="inlineStr">
        <is>
          <t>A 45591-2024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45579</v>
      </c>
      <c r="E42" s="1" t="n">
        <v>46222</v>
      </c>
      <c r="F42" t="inlineStr">
        <is>
          <t>BLEKINGE LÄN</t>
        </is>
      </c>
      <c r="G42" t="inlineStr">
        <is>
          <t>KARLSKRONA</t>
        </is>
      </c>
      <c r="I42" t="n">
        <v>0.8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Svartvit taggsvamp</t>
        </is>
      </c>
      <c r="V42">
        <f>HYPERLINK("https://klasma.github.io/Logging_1080/artfynd/A 45591-2024 artfynd.xlsx", "A 45591-2024")</f>
        <v/>
      </c>
      <c r="W42">
        <f>HYPERLINK("https://klasma.github.io/Logging_1080/kartor/A 45591-2024 karta.png", "A 45591-2024")</f>
        <v/>
      </c>
      <c r="Y42">
        <f>HYPERLINK("https://klasma.github.io/Logging_1080/klagomål/A 45591-2024 FSC-klagomål.docx", "A 45591-2024")</f>
        <v/>
      </c>
      <c r="Z42">
        <f>HYPERLINK("https://klasma.github.io/Logging_1080/klagomålsmail/A 45591-2024 FSC-klagomål mail.docx", "A 45591-2024")</f>
        <v/>
      </c>
      <c r="AA42">
        <f>HYPERLINK("https://klasma.github.io/Logging_1080/tillsyn/A 45591-2024 tillsynsbegäran.docx", "A 45591-2024")</f>
        <v/>
      </c>
      <c r="AB42">
        <f>HYPERLINK("https://klasma.github.io/Logging_1080/tillsynsmail/A 45591-2024 tillsynsbegäran mail.docx", "A 45591-2024")</f>
        <v/>
      </c>
    </row>
    <row r="43" ht="15" customHeight="1">
      <c r="A43" t="inlineStr">
        <is>
          <t>A 14345-2023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45012</v>
      </c>
      <c r="E43" s="1" t="n">
        <v>46222</v>
      </c>
      <c r="F43" t="inlineStr">
        <is>
          <t>BLEKINGE LÄN</t>
        </is>
      </c>
      <c r="G43" t="inlineStr">
        <is>
          <t>KARLSKRONA</t>
        </is>
      </c>
      <c r="I43" t="n">
        <v>4.4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Kavelhirs</t>
        </is>
      </c>
      <c r="V43">
        <f>HYPERLINK("https://klasma.github.io/Logging_1080/artfynd/A 14345-2023 artfynd.xlsx", "A 14345-2023")</f>
        <v/>
      </c>
      <c r="W43">
        <f>HYPERLINK("https://klasma.github.io/Logging_1080/kartor/A 14345-2023 karta.png", "A 14345-2023")</f>
        <v/>
      </c>
      <c r="Y43">
        <f>HYPERLINK("https://klasma.github.io/Logging_1080/klagomål/A 14345-2023 FSC-klagomål.docx", "A 14345-2023")</f>
        <v/>
      </c>
      <c r="Z43">
        <f>HYPERLINK("https://klasma.github.io/Logging_1080/klagomålsmail/A 14345-2023 FSC-klagomål mail.docx", "A 14345-2023")</f>
        <v/>
      </c>
      <c r="AA43">
        <f>HYPERLINK("https://klasma.github.io/Logging_1080/tillsyn/A 14345-2023 tillsynsbegäran.docx", "A 14345-2023")</f>
        <v/>
      </c>
      <c r="AB43">
        <f>HYPERLINK("https://klasma.github.io/Logging_1080/tillsynsmail/A 14345-2023 tillsynsbegäran mail.docx", "A 14345-2023")</f>
        <v/>
      </c>
    </row>
    <row r="44" ht="15" customHeight="1">
      <c r="A44" t="inlineStr">
        <is>
          <t>A 34609-2025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46222</v>
      </c>
      <c r="F44" t="inlineStr">
        <is>
          <t>BLEKINGE LÄN</t>
        </is>
      </c>
      <c r="G44" t="inlineStr">
        <is>
          <t>KARLSKRONA</t>
        </is>
      </c>
      <c r="I44" t="n">
        <v>1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s="2" t="inlineStr">
        <is>
          <t>Backsippa</t>
        </is>
      </c>
      <c r="V44">
        <f>HYPERLINK("https://klasma.github.io/Logging_1080/artfynd/A 34609-2025 artfynd.xlsx", "A 34609-2025")</f>
        <v/>
      </c>
      <c r="W44">
        <f>HYPERLINK("https://klasma.github.io/Logging_1080/kartor/A 34609-2025 karta.png", "A 34609-2025")</f>
        <v/>
      </c>
      <c r="Y44">
        <f>HYPERLINK("https://klasma.github.io/Logging_1080/klagomål/A 34609-2025 FSC-klagomål.docx", "A 34609-2025")</f>
        <v/>
      </c>
      <c r="Z44">
        <f>HYPERLINK("https://klasma.github.io/Logging_1080/klagomålsmail/A 34609-2025 FSC-klagomål mail.docx", "A 34609-2025")</f>
        <v/>
      </c>
      <c r="AA44">
        <f>HYPERLINK("https://klasma.github.io/Logging_1080/tillsyn/A 34609-2025 tillsynsbegäran.docx", "A 34609-2025")</f>
        <v/>
      </c>
      <c r="AB44">
        <f>HYPERLINK("https://klasma.github.io/Logging_1080/tillsynsmail/A 34609-2025 tillsynsbegäran mail.docx", "A 34609-2025")</f>
        <v/>
      </c>
    </row>
    <row r="45" ht="15" customHeight="1">
      <c r="A45" t="inlineStr">
        <is>
          <t>A 13289-2023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45004</v>
      </c>
      <c r="E45" s="1" t="n">
        <v>46222</v>
      </c>
      <c r="F45" t="inlineStr">
        <is>
          <t>BLEKINGE LÄN</t>
        </is>
      </c>
      <c r="G45" t="inlineStr">
        <is>
          <t>KARLSKRONA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Rävticka</t>
        </is>
      </c>
      <c r="V45">
        <f>HYPERLINK("https://klasma.github.io/Logging_1080/artfynd/A 13289-2023 artfynd.xlsx", "A 13289-2023")</f>
        <v/>
      </c>
      <c r="W45">
        <f>HYPERLINK("https://klasma.github.io/Logging_1080/kartor/A 13289-2023 karta.png", "A 13289-2023")</f>
        <v/>
      </c>
      <c r="Y45">
        <f>HYPERLINK("https://klasma.github.io/Logging_1080/klagomål/A 13289-2023 FSC-klagomål.docx", "A 13289-2023")</f>
        <v/>
      </c>
      <c r="Z45">
        <f>HYPERLINK("https://klasma.github.io/Logging_1080/klagomålsmail/A 13289-2023 FSC-klagomål mail.docx", "A 13289-2023")</f>
        <v/>
      </c>
      <c r="AA45">
        <f>HYPERLINK("https://klasma.github.io/Logging_1080/tillsyn/A 13289-2023 tillsynsbegäran.docx", "A 13289-2023")</f>
        <v/>
      </c>
      <c r="AB45">
        <f>HYPERLINK("https://klasma.github.io/Logging_1080/tillsynsmail/A 13289-2023 tillsynsbegäran mail.docx", "A 13289-2023")</f>
        <v/>
      </c>
    </row>
    <row r="46" ht="15" customHeight="1">
      <c r="A46" t="inlineStr">
        <is>
          <t>A 9033-2026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46069</v>
      </c>
      <c r="E46" s="1" t="n">
        <v>46222</v>
      </c>
      <c r="F46" t="inlineStr">
        <is>
          <t>BLEKINGE LÄN</t>
        </is>
      </c>
      <c r="G46" t="inlineStr">
        <is>
          <t>KARLSKRONA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Ekoxe</t>
        </is>
      </c>
      <c r="V46">
        <f>HYPERLINK("https://klasma.github.io/Logging_1080/artfynd/A 9033-2026 artfynd.xlsx", "A 9033-2026")</f>
        <v/>
      </c>
      <c r="W46">
        <f>HYPERLINK("https://klasma.github.io/Logging_1080/kartor/A 9033-2026 karta.png", "A 9033-2026")</f>
        <v/>
      </c>
      <c r="Y46">
        <f>HYPERLINK("https://klasma.github.io/Logging_1080/klagomål/A 9033-2026 FSC-klagomål.docx", "A 9033-2026")</f>
        <v/>
      </c>
      <c r="Z46">
        <f>HYPERLINK("https://klasma.github.io/Logging_1080/klagomålsmail/A 9033-2026 FSC-klagomål mail.docx", "A 9033-2026")</f>
        <v/>
      </c>
      <c r="AA46">
        <f>HYPERLINK("https://klasma.github.io/Logging_1080/tillsyn/A 9033-2026 tillsynsbegäran.docx", "A 9033-2026")</f>
        <v/>
      </c>
      <c r="AB46">
        <f>HYPERLINK("https://klasma.github.io/Logging_1080/tillsynsmail/A 9033-2026 tillsynsbegäran mail.docx", "A 9033-2026")</f>
        <v/>
      </c>
    </row>
    <row r="47" ht="15" customHeight="1">
      <c r="A47" t="inlineStr">
        <is>
          <t>A 53865-2025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45961</v>
      </c>
      <c r="E47" s="1" t="n">
        <v>46222</v>
      </c>
      <c r="F47" t="inlineStr">
        <is>
          <t>BLEKINGE LÄN</t>
        </is>
      </c>
      <c r="G47" t="inlineStr">
        <is>
          <t>KARLSKRONA</t>
        </is>
      </c>
      <c r="I47" t="n">
        <v>1.9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s="2" t="inlineStr">
        <is>
          <t>Rostfläck</t>
        </is>
      </c>
      <c r="V47">
        <f>HYPERLINK("https://klasma.github.io/Logging_1080/artfynd/A 53865-2025 artfynd.xlsx", "A 53865-2025")</f>
        <v/>
      </c>
      <c r="W47">
        <f>HYPERLINK("https://klasma.github.io/Logging_1080/kartor/A 53865-2025 karta.png", "A 53865-2025")</f>
        <v/>
      </c>
      <c r="Y47">
        <f>HYPERLINK("https://klasma.github.io/Logging_1080/klagomål/A 53865-2025 FSC-klagomål.docx", "A 53865-2025")</f>
        <v/>
      </c>
      <c r="Z47">
        <f>HYPERLINK("https://klasma.github.io/Logging_1080/klagomålsmail/A 53865-2025 FSC-klagomål mail.docx", "A 53865-2025")</f>
        <v/>
      </c>
      <c r="AA47">
        <f>HYPERLINK("https://klasma.github.io/Logging_1080/tillsyn/A 53865-2025 tillsynsbegäran.docx", "A 53865-2025")</f>
        <v/>
      </c>
      <c r="AB47">
        <f>HYPERLINK("https://klasma.github.io/Logging_1080/tillsynsmail/A 53865-2025 tillsynsbegäran mail.docx", "A 53865-2025")</f>
        <v/>
      </c>
    </row>
    <row r="48" ht="15" customHeight="1">
      <c r="A48" t="inlineStr">
        <is>
          <t>A 41968-2025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45903</v>
      </c>
      <c r="E48" s="1" t="n">
        <v>46222</v>
      </c>
      <c r="F48" t="inlineStr">
        <is>
          <t>BLEKINGE LÄN</t>
        </is>
      </c>
      <c r="G48" t="inlineStr">
        <is>
          <t>KARLSKRONA</t>
        </is>
      </c>
      <c r="H48" t="inlineStr">
        <is>
          <t>Kommuner</t>
        </is>
      </c>
      <c r="I48" t="n">
        <v>4.6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Ekoxe</t>
        </is>
      </c>
      <c r="V48">
        <f>HYPERLINK("https://klasma.github.io/Logging_1080/artfynd/A 41968-2025 artfynd.xlsx", "A 41968-2025")</f>
        <v/>
      </c>
      <c r="W48">
        <f>HYPERLINK("https://klasma.github.io/Logging_1080/kartor/A 41968-2025 karta.png", "A 41968-2025")</f>
        <v/>
      </c>
      <c r="Y48">
        <f>HYPERLINK("https://klasma.github.io/Logging_1080/klagomål/A 41968-2025 FSC-klagomål.docx", "A 41968-2025")</f>
        <v/>
      </c>
      <c r="Z48">
        <f>HYPERLINK("https://klasma.github.io/Logging_1080/klagomålsmail/A 41968-2025 FSC-klagomål mail.docx", "A 41968-2025")</f>
        <v/>
      </c>
      <c r="AA48">
        <f>HYPERLINK("https://klasma.github.io/Logging_1080/tillsyn/A 41968-2025 tillsynsbegäran.docx", "A 41968-2025")</f>
        <v/>
      </c>
      <c r="AB48">
        <f>HYPERLINK("https://klasma.github.io/Logging_1080/tillsynsmail/A 41968-2025 tillsynsbegäran mail.docx", "A 41968-2025")</f>
        <v/>
      </c>
    </row>
    <row r="49" ht="15" customHeight="1">
      <c r="A49" t="inlineStr">
        <is>
          <t>A 28642-2023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45103</v>
      </c>
      <c r="E49" s="1" t="n">
        <v>46222</v>
      </c>
      <c r="F49" t="inlineStr">
        <is>
          <t>BLEKINGE LÄN</t>
        </is>
      </c>
      <c r="G49" t="inlineStr">
        <is>
          <t>KARLSKRONA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Skogsalm</t>
        </is>
      </c>
      <c r="V49">
        <f>HYPERLINK("https://klasma.github.io/Logging_1080/artfynd/A 28642-2023 artfynd.xlsx", "A 28642-2023")</f>
        <v/>
      </c>
      <c r="W49">
        <f>HYPERLINK("https://klasma.github.io/Logging_1080/kartor/A 28642-2023 karta.png", "A 28642-2023")</f>
        <v/>
      </c>
      <c r="Y49">
        <f>HYPERLINK("https://klasma.github.io/Logging_1080/klagomål/A 28642-2023 FSC-klagomål.docx", "A 28642-2023")</f>
        <v/>
      </c>
      <c r="Z49">
        <f>HYPERLINK("https://klasma.github.io/Logging_1080/klagomålsmail/A 28642-2023 FSC-klagomål mail.docx", "A 28642-2023")</f>
        <v/>
      </c>
      <c r="AA49">
        <f>HYPERLINK("https://klasma.github.io/Logging_1080/tillsyn/A 28642-2023 tillsynsbegäran.docx", "A 28642-2023")</f>
        <v/>
      </c>
      <c r="AB49">
        <f>HYPERLINK("https://klasma.github.io/Logging_1080/tillsynsmail/A 28642-2023 tillsynsbegäran mail.docx", "A 28642-2023")</f>
        <v/>
      </c>
    </row>
    <row r="50" ht="15" customHeight="1">
      <c r="A50" t="inlineStr">
        <is>
          <t>A 16465-2026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46112</v>
      </c>
      <c r="E50" s="1" t="n">
        <v>46222</v>
      </c>
      <c r="F50" t="inlineStr">
        <is>
          <t>BLEKINGE LÄN</t>
        </is>
      </c>
      <c r="G50" t="inlineStr">
        <is>
          <t>KARLSKRONA</t>
        </is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Utter</t>
        </is>
      </c>
      <c r="V50">
        <f>HYPERLINK("https://klasma.github.io/Logging_1080/artfynd/A 16465-2026 artfynd.xlsx", "A 16465-2026")</f>
        <v/>
      </c>
      <c r="W50">
        <f>HYPERLINK("https://klasma.github.io/Logging_1080/kartor/A 16465-2026 karta.png", "A 16465-2026")</f>
        <v/>
      </c>
      <c r="Y50">
        <f>HYPERLINK("https://klasma.github.io/Logging_1080/klagomål/A 16465-2026 FSC-klagomål.docx", "A 16465-2026")</f>
        <v/>
      </c>
      <c r="Z50">
        <f>HYPERLINK("https://klasma.github.io/Logging_1080/klagomålsmail/A 16465-2026 FSC-klagomål mail.docx", "A 16465-2026")</f>
        <v/>
      </c>
      <c r="AA50">
        <f>HYPERLINK("https://klasma.github.io/Logging_1080/tillsyn/A 16465-2026 tillsynsbegäran.docx", "A 16465-2026")</f>
        <v/>
      </c>
      <c r="AB50">
        <f>HYPERLINK("https://klasma.github.io/Logging_1080/tillsynsmail/A 16465-2026 tillsynsbegäran mail.docx", "A 16465-2026")</f>
        <v/>
      </c>
    </row>
    <row r="51" ht="15" customHeight="1">
      <c r="A51" t="inlineStr">
        <is>
          <t>A 18052-2026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46125</v>
      </c>
      <c r="E51" s="1" t="n">
        <v>46222</v>
      </c>
      <c r="F51" t="inlineStr">
        <is>
          <t>BLEKINGE LÄN</t>
        </is>
      </c>
      <c r="G51" t="inlineStr">
        <is>
          <t>KARLSKRONA</t>
        </is>
      </c>
      <c r="I51" t="n">
        <v>4.5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Ekoxe</t>
        </is>
      </c>
      <c r="V51">
        <f>HYPERLINK("https://klasma.github.io/Logging_1080/artfynd/A 18052-2026 artfynd.xlsx", "A 18052-2026")</f>
        <v/>
      </c>
      <c r="W51">
        <f>HYPERLINK("https://klasma.github.io/Logging_1080/kartor/A 18052-2026 karta.png", "A 18052-2026")</f>
        <v/>
      </c>
      <c r="Y51">
        <f>HYPERLINK("https://klasma.github.io/Logging_1080/klagomål/A 18052-2026 FSC-klagomål.docx", "A 18052-2026")</f>
        <v/>
      </c>
      <c r="Z51">
        <f>HYPERLINK("https://klasma.github.io/Logging_1080/klagomålsmail/A 18052-2026 FSC-klagomål mail.docx", "A 18052-2026")</f>
        <v/>
      </c>
      <c r="AA51">
        <f>HYPERLINK("https://klasma.github.io/Logging_1080/tillsyn/A 18052-2026 tillsynsbegäran.docx", "A 18052-2026")</f>
        <v/>
      </c>
      <c r="AB51">
        <f>HYPERLINK("https://klasma.github.io/Logging_1080/tillsynsmail/A 18052-2026 tillsynsbegäran mail.docx", "A 18052-2026")</f>
        <v/>
      </c>
    </row>
    <row r="52" ht="15" customHeight="1">
      <c r="A52" t="inlineStr">
        <is>
          <t>A 9378-2026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46222</v>
      </c>
      <c r="F52" t="inlineStr">
        <is>
          <t>BLEKINGE LÄN</t>
        </is>
      </c>
      <c r="G52" t="inlineStr">
        <is>
          <t>KARLSKRONA</t>
        </is>
      </c>
      <c r="I52" t="n">
        <v>3.9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Hårklomossa</t>
        </is>
      </c>
      <c r="V52">
        <f>HYPERLINK("https://klasma.github.io/Logging_1080/artfynd/A 9378-2026 artfynd.xlsx", "A 9378-2026")</f>
        <v/>
      </c>
      <c r="W52">
        <f>HYPERLINK("https://klasma.github.io/Logging_1080/kartor/A 9378-2026 karta.png", "A 9378-2026")</f>
        <v/>
      </c>
      <c r="Y52">
        <f>HYPERLINK("https://klasma.github.io/Logging_1080/klagomål/A 9378-2026 FSC-klagomål.docx", "A 9378-2026")</f>
        <v/>
      </c>
      <c r="Z52">
        <f>HYPERLINK("https://klasma.github.io/Logging_1080/klagomålsmail/A 9378-2026 FSC-klagomål mail.docx", "A 9378-2026")</f>
        <v/>
      </c>
      <c r="AA52">
        <f>HYPERLINK("https://klasma.github.io/Logging_1080/tillsyn/A 9378-2026 tillsynsbegäran.docx", "A 9378-2026")</f>
        <v/>
      </c>
      <c r="AB52">
        <f>HYPERLINK("https://klasma.github.io/Logging_1080/tillsynsmail/A 9378-2026 tillsynsbegäran mail.docx", "A 9378-2026")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46222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s="2" t="inlineStr">
        <is>
          <t>Ekoxe</t>
        </is>
      </c>
      <c r="V53">
        <f>HYPERLINK("https://klasma.github.io/Logging_1080/artfynd/A 44576-2025 artfynd.xlsx", "A 44576-2025")</f>
        <v/>
      </c>
      <c r="W53">
        <f>HYPERLINK("https://klasma.github.io/Logging_1080/kartor/A 44576-2025 karta.png", "A 44576-2025")</f>
        <v/>
      </c>
      <c r="Y53">
        <f>HYPERLINK("https://klasma.github.io/Logging_1080/klagomål/A 44576-2025 FSC-klagomål.docx", "A 44576-2025")</f>
        <v/>
      </c>
      <c r="Z53">
        <f>HYPERLINK("https://klasma.github.io/Logging_1080/klagomålsmail/A 44576-2025 FSC-klagomål mail.docx", "A 44576-2025")</f>
        <v/>
      </c>
      <c r="AA53">
        <f>HYPERLINK("https://klasma.github.io/Logging_1080/tillsyn/A 44576-2025 tillsynsbegäran.docx", "A 44576-2025")</f>
        <v/>
      </c>
      <c r="AB53">
        <f>HYPERLINK("https://klasma.github.io/Logging_1080/tillsynsmail/A 44576-2025 tillsynsbegäran mail.docx", "A 44576-2025")</f>
        <v/>
      </c>
    </row>
    <row r="54" ht="15" customHeight="1">
      <c r="A54" t="inlineStr">
        <is>
          <t>A 58004-2024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45631</v>
      </c>
      <c r="E54" s="1" t="n">
        <v>46222</v>
      </c>
      <c r="F54" t="inlineStr">
        <is>
          <t>BLEKINGE LÄN</t>
        </is>
      </c>
      <c r="G54" t="inlineStr">
        <is>
          <t>KARLSKRONA</t>
        </is>
      </c>
      <c r="I54" t="n">
        <v>1.2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Korskovall</t>
        </is>
      </c>
      <c r="V54">
        <f>HYPERLINK("https://klasma.github.io/Logging_1080/artfynd/A 58004-2024 artfynd.xlsx", "A 58004-2024")</f>
        <v/>
      </c>
      <c r="W54">
        <f>HYPERLINK("https://klasma.github.io/Logging_1080/kartor/A 58004-2024 karta.png", "A 58004-2024")</f>
        <v/>
      </c>
      <c r="Y54">
        <f>HYPERLINK("https://klasma.github.io/Logging_1080/klagomål/A 58004-2024 FSC-klagomål.docx", "A 58004-2024")</f>
        <v/>
      </c>
      <c r="Z54">
        <f>HYPERLINK("https://klasma.github.io/Logging_1080/klagomålsmail/A 58004-2024 FSC-klagomål mail.docx", "A 58004-2024")</f>
        <v/>
      </c>
      <c r="AA54">
        <f>HYPERLINK("https://klasma.github.io/Logging_1080/tillsyn/A 58004-2024 tillsynsbegäran.docx", "A 58004-2024")</f>
        <v/>
      </c>
      <c r="AB54">
        <f>HYPERLINK("https://klasma.github.io/Logging_1080/tillsynsmail/A 58004-2024 tillsynsbegäran mail.docx", "A 58004-2024")</f>
        <v/>
      </c>
    </row>
    <row r="55" ht="15" customHeight="1">
      <c r="A55" t="inlineStr">
        <is>
          <t>A 19602-2023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45050</v>
      </c>
      <c r="E55" s="1" t="n">
        <v>46222</v>
      </c>
      <c r="F55" t="inlineStr">
        <is>
          <t>BLEKINGE LÄN</t>
        </is>
      </c>
      <c r="G55" t="inlineStr">
        <is>
          <t>KARLSKRONA</t>
        </is>
      </c>
      <c r="I55" t="n">
        <v>19.5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s="2" t="inlineStr">
        <is>
          <t>Backsippa</t>
        </is>
      </c>
      <c r="V55">
        <f>HYPERLINK("https://klasma.github.io/Logging_1080/artfynd/A 19602-2023 artfynd.xlsx", "A 19602-2023")</f>
        <v/>
      </c>
      <c r="W55">
        <f>HYPERLINK("https://klasma.github.io/Logging_1080/kartor/A 19602-2023 karta.png", "A 19602-2023")</f>
        <v/>
      </c>
      <c r="Y55">
        <f>HYPERLINK("https://klasma.github.io/Logging_1080/klagomål/A 19602-2023 FSC-klagomål.docx", "A 19602-2023")</f>
        <v/>
      </c>
      <c r="Z55">
        <f>HYPERLINK("https://klasma.github.io/Logging_1080/klagomålsmail/A 19602-2023 FSC-klagomål mail.docx", "A 19602-2023")</f>
        <v/>
      </c>
      <c r="AA55">
        <f>HYPERLINK("https://klasma.github.io/Logging_1080/tillsyn/A 19602-2023 tillsynsbegäran.docx", "A 19602-2023")</f>
        <v/>
      </c>
      <c r="AB55">
        <f>HYPERLINK("https://klasma.github.io/Logging_1080/tillsynsmail/A 19602-2023 tillsynsbegäran mail.docx", "A 19602-2023")</f>
        <v/>
      </c>
    </row>
    <row r="56" ht="15" customHeight="1">
      <c r="A56" t="inlineStr">
        <is>
          <t>A 20881-2026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46142</v>
      </c>
      <c r="E56" s="1" t="n">
        <v>46222</v>
      </c>
      <c r="F56" t="inlineStr">
        <is>
          <t>BLEKINGE LÄN</t>
        </is>
      </c>
      <c r="G56" t="inlineStr">
        <is>
          <t>KARLSKRONA</t>
        </is>
      </c>
      <c r="H56" t="inlineStr">
        <is>
          <t>Kommuner</t>
        </is>
      </c>
      <c r="I56" t="n">
        <v>0.8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Kopparödla</t>
        </is>
      </c>
      <c r="V56">
        <f>HYPERLINK("https://klasma.github.io/Logging_1080/artfynd/A 20881-2026 artfynd.xlsx", "A 20881-2026")</f>
        <v/>
      </c>
      <c r="W56">
        <f>HYPERLINK("https://klasma.github.io/Logging_1080/kartor/A 20881-2026 karta.png", "A 20881-2026")</f>
        <v/>
      </c>
      <c r="Y56">
        <f>HYPERLINK("https://klasma.github.io/Logging_1080/klagomål/A 20881-2026 FSC-klagomål.docx", "A 20881-2026")</f>
        <v/>
      </c>
      <c r="Z56">
        <f>HYPERLINK("https://klasma.github.io/Logging_1080/klagomålsmail/A 20881-2026 FSC-klagomål mail.docx", "A 20881-2026")</f>
        <v/>
      </c>
      <c r="AA56">
        <f>HYPERLINK("https://klasma.github.io/Logging_1080/tillsyn/A 20881-2026 tillsynsbegäran.docx", "A 20881-2026")</f>
        <v/>
      </c>
      <c r="AB56">
        <f>HYPERLINK("https://klasma.github.io/Logging_1080/tillsynsmail/A 20881-2026 tillsynsbegäran mail.docx", "A 20881-2026")</f>
        <v/>
      </c>
    </row>
    <row r="57" ht="15" customHeight="1">
      <c r="A57" t="inlineStr">
        <is>
          <t>A 27203-2026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46188</v>
      </c>
      <c r="E57" s="1" t="n">
        <v>46222</v>
      </c>
      <c r="F57" t="inlineStr">
        <is>
          <t>BLEKINGE LÄN</t>
        </is>
      </c>
      <c r="G57" t="inlineStr">
        <is>
          <t>KARLSKRONA</t>
        </is>
      </c>
      <c r="I57" t="n">
        <v>2.8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s="2" t="inlineStr">
        <is>
          <t>Nötkråka</t>
        </is>
      </c>
      <c r="V57">
        <f>HYPERLINK("https://klasma.github.io/Logging_1080/artfynd/A 27203-2026 artfynd.xlsx", "A 27203-2026")</f>
        <v/>
      </c>
      <c r="W57">
        <f>HYPERLINK("https://klasma.github.io/Logging_1080/kartor/A 27203-2026 karta.png", "A 27203-2026")</f>
        <v/>
      </c>
      <c r="Y57">
        <f>HYPERLINK("https://klasma.github.io/Logging_1080/klagomål/A 27203-2026 FSC-klagomål.docx", "A 27203-2026")</f>
        <v/>
      </c>
      <c r="Z57">
        <f>HYPERLINK("https://klasma.github.io/Logging_1080/klagomålsmail/A 27203-2026 FSC-klagomål mail.docx", "A 27203-2026")</f>
        <v/>
      </c>
      <c r="AA57">
        <f>HYPERLINK("https://klasma.github.io/Logging_1080/tillsyn/A 27203-2026 tillsynsbegäran.docx", "A 27203-2026")</f>
        <v/>
      </c>
      <c r="AB57">
        <f>HYPERLINK("https://klasma.github.io/Logging_1080/tillsynsmail/A 27203-2026 tillsynsbegäran mail.docx", "A 27203-2026")</f>
        <v/>
      </c>
      <c r="AC57">
        <f>HYPERLINK("https://klasma.github.io/Logging_1080/fåglar/A 27203-2026 prioriterade fågelarter.docx", "A 27203-2026")</f>
        <v/>
      </c>
    </row>
    <row r="58" ht="15" customHeight="1">
      <c r="A58" t="inlineStr">
        <is>
          <t>A 1356-2024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45303</v>
      </c>
      <c r="E58" s="1" t="n">
        <v>46222</v>
      </c>
      <c r="F58" t="inlineStr">
        <is>
          <t>BLEKINGE LÄN</t>
        </is>
      </c>
      <c r="G58" t="inlineStr">
        <is>
          <t>KARLSKRONA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s="2" t="inlineStr">
        <is>
          <t>Ekoxe</t>
        </is>
      </c>
      <c r="V58">
        <f>HYPERLINK("https://klasma.github.io/Logging_1080/artfynd/A 1356-2024 artfynd.xlsx", "A 1356-2024")</f>
        <v/>
      </c>
      <c r="W58">
        <f>HYPERLINK("https://klasma.github.io/Logging_1080/kartor/A 1356-2024 karta.png", "A 1356-2024")</f>
        <v/>
      </c>
      <c r="Y58">
        <f>HYPERLINK("https://klasma.github.io/Logging_1080/klagomål/A 1356-2024 FSC-klagomål.docx", "A 1356-2024")</f>
        <v/>
      </c>
      <c r="Z58">
        <f>HYPERLINK("https://klasma.github.io/Logging_1080/klagomålsmail/A 1356-2024 FSC-klagomål mail.docx", "A 1356-2024")</f>
        <v/>
      </c>
      <c r="AA58">
        <f>HYPERLINK("https://klasma.github.io/Logging_1080/tillsyn/A 1356-2024 tillsynsbegäran.docx", "A 1356-2024")</f>
        <v/>
      </c>
      <c r="AB58">
        <f>HYPERLINK("https://klasma.github.io/Logging_1080/tillsynsmail/A 1356-2024 tillsynsbegäran mail.docx", "A 1356-2024")</f>
        <v/>
      </c>
    </row>
    <row r="59" ht="15" customHeight="1">
      <c r="A59" t="inlineStr">
        <is>
          <t>A 13497-2025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45736</v>
      </c>
      <c r="E59" s="1" t="n">
        <v>46222</v>
      </c>
      <c r="F59" t="inlineStr">
        <is>
          <t>BLEKINGE LÄN</t>
        </is>
      </c>
      <c r="G59" t="inlineStr">
        <is>
          <t>KARLSKRONA</t>
        </is>
      </c>
      <c r="I59" t="n">
        <v>0.5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Backsippa</t>
        </is>
      </c>
      <c r="V59">
        <f>HYPERLINK("https://klasma.github.io/Logging_1080/artfynd/A 13497-2025 artfynd.xlsx", "A 13497-2025")</f>
        <v/>
      </c>
      <c r="W59">
        <f>HYPERLINK("https://klasma.github.io/Logging_1080/kartor/A 13497-2025 karta.png", "A 13497-2025")</f>
        <v/>
      </c>
      <c r="Y59">
        <f>HYPERLINK("https://klasma.github.io/Logging_1080/klagomål/A 13497-2025 FSC-klagomål.docx", "A 13497-2025")</f>
        <v/>
      </c>
      <c r="Z59">
        <f>HYPERLINK("https://klasma.github.io/Logging_1080/klagomålsmail/A 13497-2025 FSC-klagomål mail.docx", "A 13497-2025")</f>
        <v/>
      </c>
      <c r="AA59">
        <f>HYPERLINK("https://klasma.github.io/Logging_1080/tillsyn/A 13497-2025 tillsynsbegäran.docx", "A 13497-2025")</f>
        <v/>
      </c>
      <c r="AB59">
        <f>HYPERLINK("https://klasma.github.io/Logging_1080/tillsynsmail/A 13497-2025 tillsynsbegäran mail.docx", "A 13497-2025")</f>
        <v/>
      </c>
    </row>
    <row r="60" ht="15" customHeight="1">
      <c r="A60" t="inlineStr">
        <is>
          <t>A 30181-2023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46222</v>
      </c>
      <c r="F60" t="inlineStr">
        <is>
          <t>BLEKINGE LÄN</t>
        </is>
      </c>
      <c r="G60" t="inlineStr">
        <is>
          <t>KARLSKRONA</t>
        </is>
      </c>
      <c r="I60" t="n">
        <v>3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s="2" t="inlineStr">
        <is>
          <t>Hasselsnok</t>
        </is>
      </c>
      <c r="V60">
        <f>HYPERLINK("https://klasma.github.io/Logging_1080/artfynd/A 30181-2023 artfynd.xlsx", "A 30181-2023")</f>
        <v/>
      </c>
      <c r="W60">
        <f>HYPERLINK("https://klasma.github.io/Logging_1080/kartor/A 30181-2023 karta.png", "A 30181-2023")</f>
        <v/>
      </c>
      <c r="Y60">
        <f>HYPERLINK("https://klasma.github.io/Logging_1080/klagomål/A 30181-2023 FSC-klagomål.docx", "A 30181-2023")</f>
        <v/>
      </c>
      <c r="Z60">
        <f>HYPERLINK("https://klasma.github.io/Logging_1080/klagomålsmail/A 30181-2023 FSC-klagomål mail.docx", "A 30181-2023")</f>
        <v/>
      </c>
      <c r="AA60">
        <f>HYPERLINK("https://klasma.github.io/Logging_1080/tillsyn/A 30181-2023 tillsynsbegäran.docx", "A 30181-2023")</f>
        <v/>
      </c>
      <c r="AB60">
        <f>HYPERLINK("https://klasma.github.io/Logging_1080/tillsynsmail/A 30181-2023 tillsynsbegäran mail.docx", "A 30181-2023")</f>
        <v/>
      </c>
    </row>
    <row r="61" ht="15" customHeight="1">
      <c r="A61" t="inlineStr">
        <is>
          <t>A 13201-2023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45002</v>
      </c>
      <c r="E61" s="1" t="n">
        <v>46222</v>
      </c>
      <c r="F61" t="inlineStr">
        <is>
          <t>BLEKINGE LÄN</t>
        </is>
      </c>
      <c r="G61" t="inlineStr">
        <is>
          <t>KARLSKRONA</t>
        </is>
      </c>
      <c r="I61" t="n">
        <v>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s="2" t="inlineStr">
        <is>
          <t>Stortimjan</t>
        </is>
      </c>
      <c r="V61">
        <f>HYPERLINK("https://klasma.github.io/Logging_1080/artfynd/A 13201-2023 artfynd.xlsx", "A 13201-2023")</f>
        <v/>
      </c>
      <c r="W61">
        <f>HYPERLINK("https://klasma.github.io/Logging_1080/kartor/A 13201-2023 karta.png", "A 13201-2023")</f>
        <v/>
      </c>
      <c r="Y61">
        <f>HYPERLINK("https://klasma.github.io/Logging_1080/klagomål/A 13201-2023 FSC-klagomål.docx", "A 13201-2023")</f>
        <v/>
      </c>
      <c r="Z61">
        <f>HYPERLINK("https://klasma.github.io/Logging_1080/klagomålsmail/A 13201-2023 FSC-klagomål mail.docx", "A 13201-2023")</f>
        <v/>
      </c>
      <c r="AA61">
        <f>HYPERLINK("https://klasma.github.io/Logging_1080/tillsyn/A 13201-2023 tillsynsbegäran.docx", "A 13201-2023")</f>
        <v/>
      </c>
      <c r="AB61">
        <f>HYPERLINK("https://klasma.github.io/Logging_1080/tillsynsmail/A 13201-2023 tillsynsbegäran mail.docx", "A 13201-2023")</f>
        <v/>
      </c>
    </row>
    <row r="62" ht="15" customHeight="1">
      <c r="A62" t="inlineStr">
        <is>
          <t>A 24942-2023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45085</v>
      </c>
      <c r="E62" s="1" t="n">
        <v>46222</v>
      </c>
      <c r="F62" t="inlineStr">
        <is>
          <t>BLEKINGE LÄN</t>
        </is>
      </c>
      <c r="G62" t="inlineStr">
        <is>
          <t>KARLSKRONA</t>
        </is>
      </c>
      <c r="I62" t="n">
        <v>1.4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Stortimjan</t>
        </is>
      </c>
      <c r="V62">
        <f>HYPERLINK("https://klasma.github.io/Logging_1080/artfynd/A 24942-2023 artfynd.xlsx", "A 24942-2023")</f>
        <v/>
      </c>
      <c r="W62">
        <f>HYPERLINK("https://klasma.github.io/Logging_1080/kartor/A 24942-2023 karta.png", "A 24942-2023")</f>
        <v/>
      </c>
      <c r="Y62">
        <f>HYPERLINK("https://klasma.github.io/Logging_1080/klagomål/A 24942-2023 FSC-klagomål.docx", "A 24942-2023")</f>
        <v/>
      </c>
      <c r="Z62">
        <f>HYPERLINK("https://klasma.github.io/Logging_1080/klagomålsmail/A 24942-2023 FSC-klagomål mail.docx", "A 24942-2023")</f>
        <v/>
      </c>
      <c r="AA62">
        <f>HYPERLINK("https://klasma.github.io/Logging_1080/tillsyn/A 24942-2023 tillsynsbegäran.docx", "A 24942-2023")</f>
        <v/>
      </c>
      <c r="AB62">
        <f>HYPERLINK("https://klasma.github.io/Logging_1080/tillsynsmail/A 24942-2023 tillsynsbegäran mail.docx", "A 24942-2023")</f>
        <v/>
      </c>
    </row>
    <row r="63" ht="15" customHeight="1">
      <c r="A63" t="inlineStr">
        <is>
          <t>A 13533-2024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45387</v>
      </c>
      <c r="E63" s="1" t="n">
        <v>46222</v>
      </c>
      <c r="F63" t="inlineStr">
        <is>
          <t>BLEKINGE LÄN</t>
        </is>
      </c>
      <c r="G63" t="inlineStr">
        <is>
          <t>KARLSKRONA</t>
        </is>
      </c>
      <c r="I63" t="n">
        <v>1.3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3</v>
      </c>
      <c r="U63" s="2" t="inlineStr">
        <is>
          <t>Polabiskt björnbär</t>
        </is>
      </c>
      <c r="V63">
        <f>HYPERLINK("https://klasma.github.io/Logging_1080/artfynd/A 13533-2024 artfynd.xlsx", "A 13533-2024")</f>
        <v/>
      </c>
      <c r="W63">
        <f>HYPERLINK("https://klasma.github.io/Logging_1080/kartor/A 13533-2024 karta.png", "A 13533-2024")</f>
        <v/>
      </c>
      <c r="Y63">
        <f>HYPERLINK("https://klasma.github.io/Logging_1080/klagomål/A 13533-2024 FSC-klagomål.docx", "A 13533-2024")</f>
        <v/>
      </c>
      <c r="Z63">
        <f>HYPERLINK("https://klasma.github.io/Logging_1080/klagomålsmail/A 13533-2024 FSC-klagomål mail.docx", "A 13533-2024")</f>
        <v/>
      </c>
      <c r="AA63">
        <f>HYPERLINK("https://klasma.github.io/Logging_1080/tillsyn/A 13533-2024 tillsynsbegäran.docx", "A 13533-2024")</f>
        <v/>
      </c>
      <c r="AB63">
        <f>HYPERLINK("https://klasma.github.io/Logging_1080/tillsynsmail/A 13533-2024 tillsynsbegäran mail.docx", "A 13533-2024")</f>
        <v/>
      </c>
    </row>
    <row r="64" ht="15" customHeight="1">
      <c r="A64" t="inlineStr">
        <is>
          <t>A 6221-2024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46222</v>
      </c>
      <c r="F64" t="inlineStr">
        <is>
          <t>BLEKINGE LÄN</t>
        </is>
      </c>
      <c r="G64" t="inlineStr">
        <is>
          <t>KARLSKRONA</t>
        </is>
      </c>
      <c r="I64" t="n">
        <v>0.8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s="2" t="inlineStr">
        <is>
          <t>Ekoxe</t>
        </is>
      </c>
      <c r="V64">
        <f>HYPERLINK("https://klasma.github.io/Logging_1080/artfynd/A 6221-2024 artfynd.xlsx", "A 6221-2024")</f>
        <v/>
      </c>
      <c r="W64">
        <f>HYPERLINK("https://klasma.github.io/Logging_1080/kartor/A 6221-2024 karta.png", "A 6221-2024")</f>
        <v/>
      </c>
      <c r="Y64">
        <f>HYPERLINK("https://klasma.github.io/Logging_1080/klagomål/A 6221-2024 FSC-klagomål.docx", "A 6221-2024")</f>
        <v/>
      </c>
      <c r="Z64">
        <f>HYPERLINK("https://klasma.github.io/Logging_1080/klagomålsmail/A 6221-2024 FSC-klagomål mail.docx", "A 6221-2024")</f>
        <v/>
      </c>
      <c r="AA64">
        <f>HYPERLINK("https://klasma.github.io/Logging_1080/tillsyn/A 6221-2024 tillsynsbegäran.docx", "A 6221-2024")</f>
        <v/>
      </c>
      <c r="AB64">
        <f>HYPERLINK("https://klasma.github.io/Logging_1080/tillsynsmail/A 6221-2024 tillsynsbegäran mail.docx", "A 6221-2024")</f>
        <v/>
      </c>
    </row>
    <row r="65" ht="15" customHeight="1">
      <c r="A65" t="inlineStr">
        <is>
          <t>A 56476-2024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45625</v>
      </c>
      <c r="E65" s="1" t="n">
        <v>46222</v>
      </c>
      <c r="F65" t="inlineStr">
        <is>
          <t>BLEKINGE LÄN</t>
        </is>
      </c>
      <c r="G65" t="inlineStr">
        <is>
          <t>KARLSKRONA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Ask</t>
        </is>
      </c>
      <c r="V65">
        <f>HYPERLINK("https://klasma.github.io/Logging_1080/artfynd/A 56476-2024 artfynd.xlsx", "A 56476-2024")</f>
        <v/>
      </c>
      <c r="W65">
        <f>HYPERLINK("https://klasma.github.io/Logging_1080/kartor/A 56476-2024 karta.png", "A 56476-2024")</f>
        <v/>
      </c>
      <c r="Y65">
        <f>HYPERLINK("https://klasma.github.io/Logging_1080/klagomål/A 56476-2024 FSC-klagomål.docx", "A 56476-2024")</f>
        <v/>
      </c>
      <c r="Z65">
        <f>HYPERLINK("https://klasma.github.io/Logging_1080/klagomålsmail/A 56476-2024 FSC-klagomål mail.docx", "A 56476-2024")</f>
        <v/>
      </c>
      <c r="AA65">
        <f>HYPERLINK("https://klasma.github.io/Logging_1080/tillsyn/A 56476-2024 tillsynsbegäran.docx", "A 56476-2024")</f>
        <v/>
      </c>
      <c r="AB65">
        <f>HYPERLINK("https://klasma.github.io/Logging_1080/tillsynsmail/A 56476-2024 tillsynsbegäran mail.docx", "A 56476-2024")</f>
        <v/>
      </c>
    </row>
    <row r="66" ht="15" customHeight="1">
      <c r="A66" t="inlineStr">
        <is>
          <t>A 51085-2024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45603</v>
      </c>
      <c r="E66" s="1" t="n">
        <v>46222</v>
      </c>
      <c r="F66" t="inlineStr">
        <is>
          <t>BLEKINGE LÄN</t>
        </is>
      </c>
      <c r="G66" t="inlineStr">
        <is>
          <t>KARLSKRONA</t>
        </is>
      </c>
      <c r="I66" t="n">
        <v>5.4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Långbensgroda</t>
        </is>
      </c>
      <c r="V66">
        <f>HYPERLINK("https://klasma.github.io/Logging_1080/artfynd/A 51085-2024 artfynd.xlsx", "A 51085-2024")</f>
        <v/>
      </c>
      <c r="W66">
        <f>HYPERLINK("https://klasma.github.io/Logging_1080/kartor/A 51085-2024 karta.png", "A 51085-2024")</f>
        <v/>
      </c>
      <c r="Y66">
        <f>HYPERLINK("https://klasma.github.io/Logging_1080/klagomål/A 51085-2024 FSC-klagomål.docx", "A 51085-2024")</f>
        <v/>
      </c>
      <c r="Z66">
        <f>HYPERLINK("https://klasma.github.io/Logging_1080/klagomålsmail/A 51085-2024 FSC-klagomål mail.docx", "A 51085-2024")</f>
        <v/>
      </c>
      <c r="AA66">
        <f>HYPERLINK("https://klasma.github.io/Logging_1080/tillsyn/A 51085-2024 tillsynsbegäran.docx", "A 51085-2024")</f>
        <v/>
      </c>
      <c r="AB66">
        <f>HYPERLINK("https://klasma.github.io/Logging_1080/tillsynsmail/A 51085-2024 tillsynsbegäran mail.docx", "A 51085-2024")</f>
        <v/>
      </c>
    </row>
    <row r="67" ht="15" customHeight="1">
      <c r="A67" t="inlineStr">
        <is>
          <t>A 27763-2024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45475</v>
      </c>
      <c r="E67" s="1" t="n">
        <v>46222</v>
      </c>
      <c r="F67" t="inlineStr">
        <is>
          <t>BLEKINGE LÄN</t>
        </is>
      </c>
      <c r="G67" t="inlineStr">
        <is>
          <t>KARLSKRONA</t>
        </is>
      </c>
      <c r="I67" t="n">
        <v>7.6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2</v>
      </c>
      <c r="U67" s="2" t="inlineStr">
        <is>
          <t>Långbensgroda</t>
        </is>
      </c>
      <c r="V67">
        <f>HYPERLINK("https://klasma.github.io/Logging_1080/artfynd/A 27763-2024 artfynd.xlsx", "A 27763-2024")</f>
        <v/>
      </c>
      <c r="W67">
        <f>HYPERLINK("https://klasma.github.io/Logging_1080/kartor/A 27763-2024 karta.png", "A 27763-2024")</f>
        <v/>
      </c>
      <c r="Y67">
        <f>HYPERLINK("https://klasma.github.io/Logging_1080/klagomål/A 27763-2024 FSC-klagomål.docx", "A 27763-2024")</f>
        <v/>
      </c>
      <c r="Z67">
        <f>HYPERLINK("https://klasma.github.io/Logging_1080/klagomålsmail/A 27763-2024 FSC-klagomål mail.docx", "A 27763-2024")</f>
        <v/>
      </c>
      <c r="AA67">
        <f>HYPERLINK("https://klasma.github.io/Logging_1080/tillsyn/A 27763-2024 tillsynsbegäran.docx", "A 27763-2024")</f>
        <v/>
      </c>
      <c r="AB67">
        <f>HYPERLINK("https://klasma.github.io/Logging_1080/tillsynsmail/A 27763-2024 tillsynsbegäran mail.docx", "A 27763-2024")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46222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s="2" t="inlineStr">
        <is>
          <t>Mattlummer</t>
        </is>
      </c>
      <c r="V68">
        <f>HYPERLINK("https://klasma.github.io/Logging_1080/artfynd/S 365-2023 artfynd.xlsx", "S 365-2023")</f>
        <v/>
      </c>
      <c r="W68">
        <f>HYPERLINK("https://klasma.github.io/Logging_1080/kartor/S 365-2023 karta.png", "S 365-2023")</f>
        <v/>
      </c>
      <c r="Y68">
        <f>HYPERLINK("https://klasma.github.io/Logging_1080/klagomål/S 365-2023 FSC-klagomål.docx", "S 365-2023")</f>
        <v/>
      </c>
      <c r="Z68">
        <f>HYPERLINK("https://klasma.github.io/Logging_1080/klagomålsmail/S 365-2023 FSC-klagomål mail.docx", "S 365-2023")</f>
        <v/>
      </c>
      <c r="AA68">
        <f>HYPERLINK("https://klasma.github.io/Logging_1080/tillsyn/S 365-2023 tillsynsbegäran.docx", "S 365-2023")</f>
        <v/>
      </c>
      <c r="AB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46222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Polabiskt björnbär</t>
        </is>
      </c>
      <c r="V69">
        <f>HYPERLINK("https://klasma.github.io/Logging_1080/artfynd/S 1495-2023 artfynd.xlsx", "S 1495-2023")</f>
        <v/>
      </c>
      <c r="W69">
        <f>HYPERLINK("https://klasma.github.io/Logging_1080/kartor/S 1495-2023 karta.png", "S 1495-2023")</f>
        <v/>
      </c>
      <c r="Y69">
        <f>HYPERLINK("https://klasma.github.io/Logging_1080/klagomål/S 1495-2023 FSC-klagomål.docx", "S 1495-2023")</f>
        <v/>
      </c>
      <c r="Z69">
        <f>HYPERLINK("https://klasma.github.io/Logging_1080/klagomålsmail/S 1495-2023 FSC-klagomål mail.docx", "S 1495-2023")</f>
        <v/>
      </c>
      <c r="AA69">
        <f>HYPERLINK("https://klasma.github.io/Logging_1080/tillsyn/S 1495-2023 tillsynsbegäran.docx", "S 1495-2023")</f>
        <v/>
      </c>
      <c r="AB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46222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s="2" t="inlineStr">
        <is>
          <t>Grönvit nattviol</t>
        </is>
      </c>
      <c r="V70">
        <f>HYPERLINK("https://klasma.github.io/Logging_1080/artfynd/S 2526-2024 artfynd.xlsx", "S 2526-2024")</f>
        <v/>
      </c>
      <c r="W70">
        <f>HYPERLINK("https://klasma.github.io/Logging_1080/kartor/S 2526-2024 karta.png", "S 2526-2024")</f>
        <v/>
      </c>
      <c r="Y70">
        <f>HYPERLINK("https://klasma.github.io/Logging_1080/klagomål/S 2526-2024 FSC-klagomål.docx", "S 2526-2024")</f>
        <v/>
      </c>
      <c r="Z70">
        <f>HYPERLINK("https://klasma.github.io/Logging_1080/klagomålsmail/S 2526-2024 FSC-klagomål mail.docx", "S 2526-2024")</f>
        <v/>
      </c>
      <c r="AA70">
        <f>HYPERLINK("https://klasma.github.io/Logging_1080/tillsyn/S 2526-2024 tillsynsbegäran.docx", "S 2526-2024")</f>
        <v/>
      </c>
      <c r="AB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46222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Bokkantlav</t>
        </is>
      </c>
      <c r="V71">
        <f>HYPERLINK("https://klasma.github.io/Logging_1080/artfynd/S 4780-2024 artfynd.xlsx", "S 4780-2024")</f>
        <v/>
      </c>
      <c r="W71">
        <f>HYPERLINK("https://klasma.github.io/Logging_1080/kartor/S 4780-2024 karta.png", "S 4780-2024")</f>
        <v/>
      </c>
      <c r="Y71">
        <f>HYPERLINK("https://klasma.github.io/Logging_1080/klagomål/S 4780-2024 FSC-klagomål.docx", "S 4780-2024")</f>
        <v/>
      </c>
      <c r="Z71">
        <f>HYPERLINK("https://klasma.github.io/Logging_1080/klagomålsmail/S 4780-2024 FSC-klagomål mail.docx", "S 4780-2024")</f>
        <v/>
      </c>
      <c r="AA71">
        <f>HYPERLINK("https://klasma.github.io/Logging_1080/tillsyn/S 4780-2024 tillsynsbegäran.docx", "S 4780-2024")</f>
        <v/>
      </c>
      <c r="AB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46222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Stortimjan</t>
        </is>
      </c>
      <c r="V72">
        <f>HYPERLINK("https://klasma.github.io/Logging_1080/artfynd/S 358-2026 artfynd.xlsx", "S 358-2026")</f>
        <v/>
      </c>
      <c r="W72">
        <f>HYPERLINK("https://klasma.github.io/Logging_1080/kartor/S 358-2026 karta.png", "S 358-2026")</f>
        <v/>
      </c>
      <c r="Y72">
        <f>HYPERLINK("https://klasma.github.io/Logging_1080/klagomål/S 358-2026 FSC-klagomål.docx", "S 358-2026")</f>
        <v/>
      </c>
      <c r="Z72">
        <f>HYPERLINK("https://klasma.github.io/Logging_1080/klagomålsmail/S 358-2026 FSC-klagomål mail.docx", "S 358-2026")</f>
        <v/>
      </c>
      <c r="AA72">
        <f>HYPERLINK("https://klasma.github.io/Logging_1080/tillsyn/S 358-2026 tillsynsbegäran.docx", "S 358-2026")</f>
        <v/>
      </c>
      <c r="AB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46222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s="2" t="inlineStr">
        <is>
          <t>Igelkott</t>
        </is>
      </c>
      <c r="V73">
        <f>HYPERLINK("https://klasma.github.io/Logging_1080/artfynd/S 780-2026 artfynd.xlsx", "S 780-2026")</f>
        <v/>
      </c>
      <c r="W73">
        <f>HYPERLINK("https://klasma.github.io/Logging_1080/kartor/S 780-2026 karta.png", "S 780-2026")</f>
        <v/>
      </c>
      <c r="Y73">
        <f>HYPERLINK("https://klasma.github.io/Logging_1080/klagomål/S 780-2026 FSC-klagomål.docx", "S 780-2026")</f>
        <v/>
      </c>
      <c r="Z73">
        <f>HYPERLINK("https://klasma.github.io/Logging_1080/klagomålsmail/S 780-2026 FSC-klagomål mail.docx", "S 780-2026")</f>
        <v/>
      </c>
      <c r="AA73">
        <f>HYPERLINK("https://klasma.github.io/Logging_1080/tillsyn/S 780-2026 tillsynsbegäran.docx", "S 780-2026")</f>
        <v/>
      </c>
      <c r="AB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46222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46222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46222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46222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51351-2022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46222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46222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54016-2021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44468</v>
      </c>
      <c r="E80" s="1" t="n">
        <v>46222</v>
      </c>
      <c r="F80" t="inlineStr">
        <is>
          <t>BLEKINGE LÄN</t>
        </is>
      </c>
      <c r="G80" t="inlineStr">
        <is>
          <t>KARLSKRONA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3391-2022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44585</v>
      </c>
      <c r="E81" s="1" t="n">
        <v>46222</v>
      </c>
      <c r="F81" t="inlineStr">
        <is>
          <t>BLEKINGE LÄN</t>
        </is>
      </c>
      <c r="G81" t="inlineStr">
        <is>
          <t>KARLSKRONA</t>
        </is>
      </c>
      <c r="I81" t="n">
        <v>23.9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46222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46222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16360-2022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44670</v>
      </c>
      <c r="E84" s="1" t="n">
        <v>46222</v>
      </c>
      <c r="F84" t="inlineStr">
        <is>
          <t>BLEKINGE LÄN</t>
        </is>
      </c>
      <c r="G84" t="inlineStr">
        <is>
          <t>KARLSKRONA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46222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46222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46222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46222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46222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46222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41035-2021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44421</v>
      </c>
      <c r="E91" s="1" t="n">
        <v>46222</v>
      </c>
      <c r="F91" t="inlineStr">
        <is>
          <t>BLEKINGE LÄN</t>
        </is>
      </c>
      <c r="G91" t="inlineStr">
        <is>
          <t>KARLSKRONA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38389-2021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44406</v>
      </c>
      <c r="E92" s="1" t="n">
        <v>46222</v>
      </c>
      <c r="F92" t="inlineStr">
        <is>
          <t>BLEKINGE LÄN</t>
        </is>
      </c>
      <c r="G92" t="inlineStr">
        <is>
          <t>KARLSKRONA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47971-2021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44449</v>
      </c>
      <c r="E93" s="1" t="n">
        <v>46222</v>
      </c>
      <c r="F93" t="inlineStr">
        <is>
          <t>BLEKINGE LÄN</t>
        </is>
      </c>
      <c r="G93" t="inlineStr">
        <is>
          <t>KARLSKRONA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19146-2022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44691</v>
      </c>
      <c r="E94" s="1" t="n">
        <v>46222</v>
      </c>
      <c r="F94" t="inlineStr">
        <is>
          <t>BLEKINGE LÄN</t>
        </is>
      </c>
      <c r="G94" t="inlineStr">
        <is>
          <t>KARLSKRONA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68264-2021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44526</v>
      </c>
      <c r="E95" s="1" t="n">
        <v>46222</v>
      </c>
      <c r="F95" t="inlineStr">
        <is>
          <t>BLEKINGE LÄN</t>
        </is>
      </c>
      <c r="G95" t="inlineStr">
        <is>
          <t>KARLSKRONA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38817-2021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44411</v>
      </c>
      <c r="E96" s="1" t="n">
        <v>46222</v>
      </c>
      <c r="F96" t="inlineStr">
        <is>
          <t>BLEKINGE LÄN</t>
        </is>
      </c>
      <c r="G96" t="inlineStr">
        <is>
          <t>KARLSKRONA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45935-2021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44441</v>
      </c>
      <c r="E97" s="1" t="n">
        <v>46222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51528-2021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46222</v>
      </c>
      <c r="F98" t="inlineStr">
        <is>
          <t>BLEKINGE LÄN</t>
        </is>
      </c>
      <c r="G98" t="inlineStr">
        <is>
          <t>KARLSKRONA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15319-2022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44659</v>
      </c>
      <c r="E99" s="1" t="n">
        <v>46222</v>
      </c>
      <c r="F99" t="inlineStr">
        <is>
          <t>BLEKINGE LÄN</t>
        </is>
      </c>
      <c r="G99" t="inlineStr">
        <is>
          <t>KARLSKRONA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16926-2022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46222</v>
      </c>
      <c r="F100" t="inlineStr">
        <is>
          <t>BLEKINGE LÄN</t>
        </is>
      </c>
      <c r="G100" t="inlineStr">
        <is>
          <t>KARLSKRONA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11303-2022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46222</v>
      </c>
      <c r="F101" t="inlineStr">
        <is>
          <t>BLEKINGE LÄN</t>
        </is>
      </c>
      <c r="G101" t="inlineStr">
        <is>
          <t>KARLSKRONA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62169-2021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46222</v>
      </c>
      <c r="F102" t="inlineStr">
        <is>
          <t>BLEKINGE LÄN</t>
        </is>
      </c>
      <c r="G102" t="inlineStr">
        <is>
          <t>KARLSKRONA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44489-2021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44435</v>
      </c>
      <c r="E103" s="1" t="n">
        <v>46222</v>
      </c>
      <c r="F103" t="inlineStr">
        <is>
          <t>BLEKINGE LÄN</t>
        </is>
      </c>
      <c r="G103" t="inlineStr">
        <is>
          <t>KARLSKRONA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37499-2021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44399</v>
      </c>
      <c r="E104" s="1" t="n">
        <v>46222</v>
      </c>
      <c r="F104" t="inlineStr">
        <is>
          <t>BLEKINGE LÄN</t>
        </is>
      </c>
      <c r="G104" t="inlineStr">
        <is>
          <t>KARLSKRONA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23142-2022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44719</v>
      </c>
      <c r="E105" s="1" t="n">
        <v>46222</v>
      </c>
      <c r="F105" t="inlineStr">
        <is>
          <t>BLEKINGE LÄN</t>
        </is>
      </c>
      <c r="G105" t="inlineStr">
        <is>
          <t>KARLSKRONA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62510-2021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46222</v>
      </c>
      <c r="F106" t="inlineStr">
        <is>
          <t>BLEKINGE LÄN</t>
        </is>
      </c>
      <c r="G106" t="inlineStr">
        <is>
          <t>KARLSKRONA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51862-2021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44462</v>
      </c>
      <c r="E107" s="1" t="n">
        <v>46222</v>
      </c>
      <c r="F107" t="inlineStr">
        <is>
          <t>BLEKINGE LÄN</t>
        </is>
      </c>
      <c r="G107" t="inlineStr">
        <is>
          <t>KARLSKRONA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47495-2021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44447</v>
      </c>
      <c r="E108" s="1" t="n">
        <v>46222</v>
      </c>
      <c r="F108" t="inlineStr">
        <is>
          <t>BLEKINGE LÄN</t>
        </is>
      </c>
      <c r="G108" t="inlineStr">
        <is>
          <t>KARLSKRONA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61081-2021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44497</v>
      </c>
      <c r="E109" s="1" t="n">
        <v>46222</v>
      </c>
      <c r="F109" t="inlineStr">
        <is>
          <t>BLEKINGE LÄN</t>
        </is>
      </c>
      <c r="G109" t="inlineStr">
        <is>
          <t>KARLSKRONA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37206-2022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44806</v>
      </c>
      <c r="E110" s="1" t="n">
        <v>46222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41248-2021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44424</v>
      </c>
      <c r="E111" s="1" t="n">
        <v>46222</v>
      </c>
      <c r="F111" t="inlineStr">
        <is>
          <t>BLEKINGE LÄN</t>
        </is>
      </c>
      <c r="G111" t="inlineStr">
        <is>
          <t>KARLSKRONA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10628-2022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44624</v>
      </c>
      <c r="E112" s="1" t="n">
        <v>46222</v>
      </c>
      <c r="F112" t="inlineStr">
        <is>
          <t>BLEKINGE LÄN</t>
        </is>
      </c>
      <c r="G112" t="inlineStr">
        <is>
          <t>KARLSKRONA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46311-2021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44442</v>
      </c>
      <c r="E113" s="1" t="n">
        <v>46222</v>
      </c>
      <c r="F113" t="inlineStr">
        <is>
          <t>BLEKINGE LÄN</t>
        </is>
      </c>
      <c r="G113" t="inlineStr">
        <is>
          <t>KARLSKRONA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53560-2022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44874</v>
      </c>
      <c r="E114" s="1" t="n">
        <v>46222</v>
      </c>
      <c r="F114" t="inlineStr">
        <is>
          <t>BLEKINGE LÄN</t>
        </is>
      </c>
      <c r="G114" t="inlineStr">
        <is>
          <t>KARLSKRONA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27489-2022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44742</v>
      </c>
      <c r="E115" s="1" t="n">
        <v>46222</v>
      </c>
      <c r="F115" t="inlineStr">
        <is>
          <t>BLEKINGE LÄN</t>
        </is>
      </c>
      <c r="G115" t="inlineStr">
        <is>
          <t>KARLSKRONA</t>
        </is>
      </c>
      <c r="I115" t="n">
        <v>8.1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11173-2022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44629</v>
      </c>
      <c r="E116" s="1" t="n">
        <v>46222</v>
      </c>
      <c r="F116" t="inlineStr">
        <is>
          <t>BLEKINGE LÄN</t>
        </is>
      </c>
      <c r="G116" t="inlineStr">
        <is>
          <t>KARLSKRONA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45996-2021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44441</v>
      </c>
      <c r="E117" s="1" t="n">
        <v>46222</v>
      </c>
      <c r="F117" t="inlineStr">
        <is>
          <t>BLEKINGE LÄN</t>
        </is>
      </c>
      <c r="G117" t="inlineStr">
        <is>
          <t>KARLSKRONA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45997-2021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46222</v>
      </c>
      <c r="F118" t="inlineStr">
        <is>
          <t>BLEKINGE LÄN</t>
        </is>
      </c>
      <c r="G118" t="inlineStr">
        <is>
          <t>KARLSKRONA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46222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44114-2021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44434</v>
      </c>
      <c r="E120" s="1" t="n">
        <v>46222</v>
      </c>
      <c r="F120" t="inlineStr">
        <is>
          <t>BLEKINGE LÄN</t>
        </is>
      </c>
      <c r="G120" t="inlineStr">
        <is>
          <t>KARLSKRONA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46222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1139-2022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44572</v>
      </c>
      <c r="E122" s="1" t="n">
        <v>46222</v>
      </c>
      <c r="F122" t="inlineStr">
        <is>
          <t>BLEKINGE LÄN</t>
        </is>
      </c>
      <c r="G122" t="inlineStr">
        <is>
          <t>KARLSKRONA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46890-2021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44446</v>
      </c>
      <c r="E123" s="1" t="n">
        <v>46222</v>
      </c>
      <c r="F123" t="inlineStr">
        <is>
          <t>BLEKINGE LÄN</t>
        </is>
      </c>
      <c r="G123" t="inlineStr">
        <is>
          <t>KARLSKRONA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6037-2022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44599</v>
      </c>
      <c r="E124" s="1" t="n">
        <v>46222</v>
      </c>
      <c r="F124" t="inlineStr">
        <is>
          <t>BLEKINGE LÄN</t>
        </is>
      </c>
      <c r="G124" t="inlineStr">
        <is>
          <t>KARLSKRONA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59366-2021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46222</v>
      </c>
      <c r="F125" t="inlineStr">
        <is>
          <t>BLEKINGE LÄN</t>
        </is>
      </c>
      <c r="G125" t="inlineStr">
        <is>
          <t>KARLSKRONA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40788-2021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44420</v>
      </c>
      <c r="E126" s="1" t="n">
        <v>46222</v>
      </c>
      <c r="F126" t="inlineStr">
        <is>
          <t>BLEKINGE LÄN</t>
        </is>
      </c>
      <c r="G126" t="inlineStr">
        <is>
          <t>KARLSKRONA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43813-2021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44433</v>
      </c>
      <c r="E127" s="1" t="n">
        <v>46222</v>
      </c>
      <c r="F127" t="inlineStr">
        <is>
          <t>BLEKINGE LÄN</t>
        </is>
      </c>
      <c r="G127" t="inlineStr">
        <is>
          <t>KARLSKRONA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48782-2021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46222</v>
      </c>
      <c r="F128" t="inlineStr">
        <is>
          <t>BLEKINGE LÄN</t>
        </is>
      </c>
      <c r="G128" t="inlineStr">
        <is>
          <t>KARLSKRONA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4064-2022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44588</v>
      </c>
      <c r="E129" s="1" t="n">
        <v>46222</v>
      </c>
      <c r="F129" t="inlineStr">
        <is>
          <t>BLEKINGE LÄN</t>
        </is>
      </c>
      <c r="G129" t="inlineStr">
        <is>
          <t>KARLSKRONA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55903-2021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44476</v>
      </c>
      <c r="E130" s="1" t="n">
        <v>46222</v>
      </c>
      <c r="F130" t="inlineStr">
        <is>
          <t>BLEKINGE LÄN</t>
        </is>
      </c>
      <c r="G130" t="inlineStr">
        <is>
          <t>KARLSKRONA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65618-2021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44516</v>
      </c>
      <c r="E131" s="1" t="n">
        <v>46222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10338-2022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44623</v>
      </c>
      <c r="E132" s="1" t="n">
        <v>46222</v>
      </c>
      <c r="F132" t="inlineStr">
        <is>
          <t>BLEKINGE LÄN</t>
        </is>
      </c>
      <c r="G132" t="inlineStr">
        <is>
          <t>KARLSKRONA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50974-2021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44460</v>
      </c>
      <c r="E133" s="1" t="n">
        <v>46222</v>
      </c>
      <c r="F133" t="inlineStr">
        <is>
          <t>BLEKINGE LÄN</t>
        </is>
      </c>
      <c r="G133" t="inlineStr">
        <is>
          <t>KARLSKRONA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57730-2021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44484</v>
      </c>
      <c r="E134" s="1" t="n">
        <v>46222</v>
      </c>
      <c r="F134" t="inlineStr">
        <is>
          <t>BLEKINGE LÄN</t>
        </is>
      </c>
      <c r="G134" t="inlineStr">
        <is>
          <t>KARLSKRONA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23154-2022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44719</v>
      </c>
      <c r="E135" s="1" t="n">
        <v>46222</v>
      </c>
      <c r="F135" t="inlineStr">
        <is>
          <t>BLEKINGE LÄN</t>
        </is>
      </c>
      <c r="G135" t="inlineStr">
        <is>
          <t>KARLSKRONA</t>
        </is>
      </c>
      <c r="I135" t="n">
        <v>5.9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41200-2022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46222</v>
      </c>
      <c r="F136" t="inlineStr">
        <is>
          <t>BLEKINGE LÄN</t>
        </is>
      </c>
      <c r="G136" t="inlineStr">
        <is>
          <t>KARLSKRONA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10922-2022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44627</v>
      </c>
      <c r="E137" s="1" t="n">
        <v>46222</v>
      </c>
      <c r="F137" t="inlineStr">
        <is>
          <t>BLEKINGE LÄN</t>
        </is>
      </c>
      <c r="G137" t="inlineStr">
        <is>
          <t>KARLSKRONA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11761-2022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44634</v>
      </c>
      <c r="E138" s="1" t="n">
        <v>46222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46435-2022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46222</v>
      </c>
      <c r="F139" t="inlineStr">
        <is>
          <t>BLEKINGE LÄN</t>
        </is>
      </c>
      <c r="G139" t="inlineStr">
        <is>
          <t>KARLSKRONA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71518-2021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44540</v>
      </c>
      <c r="E140" s="1" t="n">
        <v>46222</v>
      </c>
      <c r="F140" t="inlineStr">
        <is>
          <t>BLEKINGE LÄN</t>
        </is>
      </c>
      <c r="G140" t="inlineStr">
        <is>
          <t>KARLSKRONA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55190-2021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46222</v>
      </c>
      <c r="F141" t="inlineStr">
        <is>
          <t>BLEKINGE LÄN</t>
        </is>
      </c>
      <c r="G141" t="inlineStr">
        <is>
          <t>KARLSKRONA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67540-2021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46222</v>
      </c>
      <c r="F142" t="inlineStr">
        <is>
          <t>BLEKINGE LÄN</t>
        </is>
      </c>
      <c r="G142" t="inlineStr">
        <is>
          <t>KARLSKRONA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37505-2022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44809</v>
      </c>
      <c r="E143" s="1" t="n">
        <v>46222</v>
      </c>
      <c r="F143" t="inlineStr">
        <is>
          <t>BLEKINGE LÄN</t>
        </is>
      </c>
      <c r="G143" t="inlineStr">
        <is>
          <t>KARLSKRONA</t>
        </is>
      </c>
      <c r="H143" t="inlineStr">
        <is>
          <t>Kommuner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44698</v>
      </c>
      <c r="E144" s="1" t="n">
        <v>46222</v>
      </c>
      <c r="F144" t="inlineStr">
        <is>
          <t>BLEKINGE LÄN</t>
        </is>
      </c>
      <c r="G144" t="inlineStr">
        <is>
          <t>KARLSKRONA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9966-2022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44621</v>
      </c>
      <c r="E145" s="1" t="n">
        <v>46222</v>
      </c>
      <c r="F145" t="inlineStr">
        <is>
          <t>BLEKINGE LÄN</t>
        </is>
      </c>
      <c r="G145" t="inlineStr">
        <is>
          <t>KARLSKRONA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48703-2022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46222</v>
      </c>
      <c r="F146" t="inlineStr">
        <is>
          <t>BLEKINGE LÄN</t>
        </is>
      </c>
      <c r="G146" t="inlineStr">
        <is>
          <t>KARLSKRONA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27474-2022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44742</v>
      </c>
      <c r="E147" s="1" t="n">
        <v>46222</v>
      </c>
      <c r="F147" t="inlineStr">
        <is>
          <t>BLEKINGE LÄN</t>
        </is>
      </c>
      <c r="G147" t="inlineStr">
        <is>
          <t>KARLSKRONA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27842-2022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44743</v>
      </c>
      <c r="E148" s="1" t="n">
        <v>46222</v>
      </c>
      <c r="F148" t="inlineStr">
        <is>
          <t>BLEKINGE LÄN</t>
        </is>
      </c>
      <c r="G148" t="inlineStr">
        <is>
          <t>KARLSKRONA</t>
        </is>
      </c>
      <c r="I148" t="n">
        <v>3.6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56442-2021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44480</v>
      </c>
      <c r="E149" s="1" t="n">
        <v>46222</v>
      </c>
      <c r="F149" t="inlineStr">
        <is>
          <t>BLEKINGE LÄN</t>
        </is>
      </c>
      <c r="G149" t="inlineStr">
        <is>
          <t>KARLSKRONA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41618-2021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44425</v>
      </c>
      <c r="E150" s="1" t="n">
        <v>46222</v>
      </c>
      <c r="F150" t="inlineStr">
        <is>
          <t>BLEKINGE LÄN</t>
        </is>
      </c>
      <c r="G150" t="inlineStr">
        <is>
          <t>KARLSKRONA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45605-2021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44440</v>
      </c>
      <c r="E151" s="1" t="n">
        <v>46222</v>
      </c>
      <c r="F151" t="inlineStr">
        <is>
          <t>BLEKINGE LÄN</t>
        </is>
      </c>
      <c r="G151" t="inlineStr">
        <is>
          <t>KARLSKRONA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52695-2021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44466</v>
      </c>
      <c r="E152" s="1" t="n">
        <v>46222</v>
      </c>
      <c r="F152" t="inlineStr">
        <is>
          <t>BLEKINGE LÄN</t>
        </is>
      </c>
      <c r="G152" t="inlineStr">
        <is>
          <t>KARLSKRONA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43570-2022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44837</v>
      </c>
      <c r="E153" s="1" t="n">
        <v>46222</v>
      </c>
      <c r="F153" t="inlineStr">
        <is>
          <t>BLEKINGE LÄN</t>
        </is>
      </c>
      <c r="G153" t="inlineStr">
        <is>
          <t>KARLSKRONA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21484-2022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44706</v>
      </c>
      <c r="E154" s="1" t="n">
        <v>46222</v>
      </c>
      <c r="F154" t="inlineStr">
        <is>
          <t>BLEKINGE LÄN</t>
        </is>
      </c>
      <c r="G154" t="inlineStr">
        <is>
          <t>KARLSKRONA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7874-2022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44608</v>
      </c>
      <c r="E155" s="1" t="n">
        <v>46222</v>
      </c>
      <c r="F155" t="inlineStr">
        <is>
          <t>BLEKINGE LÄN</t>
        </is>
      </c>
      <c r="G155" t="inlineStr">
        <is>
          <t>KARLSKRONA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44579</v>
      </c>
      <c r="E156" s="1" t="n">
        <v>46222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18656-2022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44687</v>
      </c>
      <c r="E157" s="1" t="n">
        <v>46222</v>
      </c>
      <c r="F157" t="inlineStr">
        <is>
          <t>BLEKINGE LÄN</t>
        </is>
      </c>
      <c r="G157" t="inlineStr">
        <is>
          <t>KARLSKRONA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59839-2021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46222</v>
      </c>
      <c r="F158" t="inlineStr">
        <is>
          <t>BLEKINGE LÄN</t>
        </is>
      </c>
      <c r="G158" t="inlineStr">
        <is>
          <t>KARLSKRONA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52697-2021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44466</v>
      </c>
      <c r="E159" s="1" t="n">
        <v>46222</v>
      </c>
      <c r="F159" t="inlineStr">
        <is>
          <t>BLEKINGE LÄN</t>
        </is>
      </c>
      <c r="G159" t="inlineStr">
        <is>
          <t>KARLSKRONA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5714-2022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44596</v>
      </c>
      <c r="E160" s="1" t="n">
        <v>46222</v>
      </c>
      <c r="F160" t="inlineStr">
        <is>
          <t>BLEKINGE LÄN</t>
        </is>
      </c>
      <c r="G160" t="inlineStr">
        <is>
          <t>KARLSKRONA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45212-2021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44439</v>
      </c>
      <c r="E161" s="1" t="n">
        <v>46222</v>
      </c>
      <c r="F161" t="inlineStr">
        <is>
          <t>BLEKINGE LÄN</t>
        </is>
      </c>
      <c r="G161" t="inlineStr">
        <is>
          <t>KARLSKRONA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37577-2021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44399</v>
      </c>
      <c r="E162" s="1" t="n">
        <v>46222</v>
      </c>
      <c r="F162" t="inlineStr">
        <is>
          <t>BLEKINGE LÄN</t>
        </is>
      </c>
      <c r="G162" t="inlineStr">
        <is>
          <t>KARLSKRONA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53045-2021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44467</v>
      </c>
      <c r="E163" s="1" t="n">
        <v>46222</v>
      </c>
      <c r="F163" t="inlineStr">
        <is>
          <t>BLEKINGE LÄN</t>
        </is>
      </c>
      <c r="G163" t="inlineStr">
        <is>
          <t>KARLSKRONA</t>
        </is>
      </c>
      <c r="I163" t="n">
        <v>4.8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46222</v>
      </c>
      <c r="F164" t="inlineStr">
        <is>
          <t>BLEKINGE LÄN</t>
        </is>
      </c>
      <c r="G164" t="inlineStr">
        <is>
          <t>KARLSKRONA</t>
        </is>
      </c>
      <c r="H164" t="inlineStr">
        <is>
          <t>Kommuner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7875-2022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44608</v>
      </c>
      <c r="E165" s="1" t="n">
        <v>46222</v>
      </c>
      <c r="F165" t="inlineStr">
        <is>
          <t>BLEKINGE LÄN</t>
        </is>
      </c>
      <c r="G165" t="inlineStr">
        <is>
          <t>KARLSKRONA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62512-2021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46222</v>
      </c>
      <c r="F166" t="inlineStr">
        <is>
          <t>BLEKINGE LÄN</t>
        </is>
      </c>
      <c r="G166" t="inlineStr">
        <is>
          <t>KARLSKRONA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22012-2022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44711</v>
      </c>
      <c r="E167" s="1" t="n">
        <v>46222</v>
      </c>
      <c r="F167" t="inlineStr">
        <is>
          <t>BLEKINGE LÄN</t>
        </is>
      </c>
      <c r="G167" t="inlineStr">
        <is>
          <t>KARLSKRONA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36667-2022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44804</v>
      </c>
      <c r="E168" s="1" t="n">
        <v>46222</v>
      </c>
      <c r="F168" t="inlineStr">
        <is>
          <t>BLEKINGE LÄN</t>
        </is>
      </c>
      <c r="G168" t="inlineStr">
        <is>
          <t>KARLSKRONA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44614</v>
      </c>
      <c r="E169" s="1" t="n">
        <v>46222</v>
      </c>
      <c r="F169" t="inlineStr">
        <is>
          <t>BLEKINGE LÄN</t>
        </is>
      </c>
      <c r="G169" t="inlineStr">
        <is>
          <t>KARLSKRONA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14954-2022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44657</v>
      </c>
      <c r="E170" s="1" t="n">
        <v>46222</v>
      </c>
      <c r="F170" t="inlineStr">
        <is>
          <t>BLEKINGE LÄN</t>
        </is>
      </c>
      <c r="G170" t="inlineStr">
        <is>
          <t>KARLSKRONA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49388-2022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44858</v>
      </c>
      <c r="E171" s="1" t="n">
        <v>46222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52832-2022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44875</v>
      </c>
      <c r="E172" s="1" t="n">
        <v>46222</v>
      </c>
      <c r="F172" t="inlineStr">
        <is>
          <t>BLEKINGE LÄN</t>
        </is>
      </c>
      <c r="G172" t="inlineStr">
        <is>
          <t>KARLSKRONA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8837-2025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46222</v>
      </c>
      <c r="F173" t="inlineStr">
        <is>
          <t>BLEKINGE LÄN</t>
        </is>
      </c>
      <c r="G173" t="inlineStr">
        <is>
          <t>KARLSKRONA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42430-2023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45180</v>
      </c>
      <c r="E174" s="1" t="n">
        <v>46222</v>
      </c>
      <c r="F174" t="inlineStr">
        <is>
          <t>BLEKINGE LÄN</t>
        </is>
      </c>
      <c r="G174" t="inlineStr">
        <is>
          <t>KARLSKRONA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9415-2025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45715</v>
      </c>
      <c r="E175" s="1" t="n">
        <v>46222</v>
      </c>
      <c r="F175" t="inlineStr">
        <is>
          <t>BLEKINGE LÄN</t>
        </is>
      </c>
      <c r="G175" t="inlineStr">
        <is>
          <t>KARLSKRONA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5651-2024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45334</v>
      </c>
      <c r="E176" s="1" t="n">
        <v>46222</v>
      </c>
      <c r="F176" t="inlineStr">
        <is>
          <t>BLEKINGE LÄN</t>
        </is>
      </c>
      <c r="G176" t="inlineStr">
        <is>
          <t>KARLSKRONA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32362-2024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45512</v>
      </c>
      <c r="E177" s="1" t="n">
        <v>46222</v>
      </c>
      <c r="F177" t="inlineStr">
        <is>
          <t>BLEKINGE LÄN</t>
        </is>
      </c>
      <c r="G177" t="inlineStr">
        <is>
          <t>KARLSKRONA</t>
        </is>
      </c>
      <c r="I177" t="n">
        <v>5.3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57841-2023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45247</v>
      </c>
      <c r="E178" s="1" t="n">
        <v>46222</v>
      </c>
      <c r="F178" t="inlineStr">
        <is>
          <t>BLEKINGE LÄN</t>
        </is>
      </c>
      <c r="G178" t="inlineStr">
        <is>
          <t>KARLSKRONA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47336-2023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45202</v>
      </c>
      <c r="E179" s="1" t="n">
        <v>46222</v>
      </c>
      <c r="F179" t="inlineStr">
        <is>
          <t>BLEKINGE LÄN</t>
        </is>
      </c>
      <c r="G179" t="inlineStr">
        <is>
          <t>KARLSKRONA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41204-2022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46222</v>
      </c>
      <c r="F180" t="inlineStr">
        <is>
          <t>BLEKINGE LÄN</t>
        </is>
      </c>
      <c r="G180" t="inlineStr">
        <is>
          <t>KARLSKRONA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7014-2024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45343</v>
      </c>
      <c r="E181" s="1" t="n">
        <v>46222</v>
      </c>
      <c r="F181" t="inlineStr">
        <is>
          <t>BLEKINGE LÄN</t>
        </is>
      </c>
      <c r="G181" t="inlineStr">
        <is>
          <t>KARLSKRONA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18730-2023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45042</v>
      </c>
      <c r="E182" s="1" t="n">
        <v>46222</v>
      </c>
      <c r="F182" t="inlineStr">
        <is>
          <t>BLEKINGE LÄN</t>
        </is>
      </c>
      <c r="G182" t="inlineStr">
        <is>
          <t>KARLSKRONA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9745-2024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45362</v>
      </c>
      <c r="E183" s="1" t="n">
        <v>46222</v>
      </c>
      <c r="F183" t="inlineStr">
        <is>
          <t>BLEKINGE LÄN</t>
        </is>
      </c>
      <c r="G183" t="inlineStr">
        <is>
          <t>KARLSKRONA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35695-2024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45532</v>
      </c>
      <c r="E184" s="1" t="n">
        <v>46222</v>
      </c>
      <c r="F184" t="inlineStr">
        <is>
          <t>BLEKINGE LÄN</t>
        </is>
      </c>
      <c r="G184" t="inlineStr">
        <is>
          <t>KARLSKRONA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35696-2024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45532</v>
      </c>
      <c r="E185" s="1" t="n">
        <v>46222</v>
      </c>
      <c r="F185" t="inlineStr">
        <is>
          <t>BLEKINGE LÄN</t>
        </is>
      </c>
      <c r="G185" t="inlineStr">
        <is>
          <t>KARLSKRONA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45334</v>
      </c>
      <c r="E186" s="1" t="n">
        <v>46222</v>
      </c>
      <c r="F186" t="inlineStr">
        <is>
          <t>BLEKINGE LÄN</t>
        </is>
      </c>
      <c r="G186" t="inlineStr">
        <is>
          <t>KARLSKRONA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54692-2022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44881</v>
      </c>
      <c r="E187" s="1" t="n">
        <v>46222</v>
      </c>
      <c r="F187" t="inlineStr">
        <is>
          <t>BLEKINGE LÄN</t>
        </is>
      </c>
      <c r="G187" t="inlineStr">
        <is>
          <t>KARLSKRONA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16380-2024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45407</v>
      </c>
      <c r="E188" s="1" t="n">
        <v>46222</v>
      </c>
      <c r="F188" t="inlineStr">
        <is>
          <t>BLEKINGE LÄN</t>
        </is>
      </c>
      <c r="G188" t="inlineStr">
        <is>
          <t>KARLSKRONA</t>
        </is>
      </c>
      <c r="I188" t="n">
        <v>4.1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41201-2022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44825</v>
      </c>
      <c r="E189" s="1" t="n">
        <v>46222</v>
      </c>
      <c r="F189" t="inlineStr">
        <is>
          <t>BLEKINGE LÄN</t>
        </is>
      </c>
      <c r="G189" t="inlineStr">
        <is>
          <t>KARLSKRONA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48739-2023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45208</v>
      </c>
      <c r="E190" s="1" t="n">
        <v>46222</v>
      </c>
      <c r="F190" t="inlineStr">
        <is>
          <t>BLEKINGE LÄN</t>
        </is>
      </c>
      <c r="G190" t="inlineStr">
        <is>
          <t>KARLSKRONA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48013-2023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45204</v>
      </c>
      <c r="E191" s="1" t="n">
        <v>46222</v>
      </c>
      <c r="F191" t="inlineStr">
        <is>
          <t>BLEKINGE LÄN</t>
        </is>
      </c>
      <c r="G191" t="inlineStr">
        <is>
          <t>KARLSKRONA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3807-2024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45321</v>
      </c>
      <c r="E192" s="1" t="n">
        <v>46222</v>
      </c>
      <c r="F192" t="inlineStr">
        <is>
          <t>BLEKINGE LÄN</t>
        </is>
      </c>
      <c r="G192" t="inlineStr">
        <is>
          <t>KARLSKRONA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26496-2023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46222</v>
      </c>
      <c r="F193" t="inlineStr">
        <is>
          <t>BLEKINGE LÄN</t>
        </is>
      </c>
      <c r="G193" t="inlineStr">
        <is>
          <t>KARLSKRONA</t>
        </is>
      </c>
      <c r="I193" t="n">
        <v>23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48999-2022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44860</v>
      </c>
      <c r="E194" s="1" t="n">
        <v>46222</v>
      </c>
      <c r="F194" t="inlineStr">
        <is>
          <t>BLEKINGE LÄN</t>
        </is>
      </c>
      <c r="G194" t="inlineStr">
        <is>
          <t>KARLSKRONA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46279-2022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44847</v>
      </c>
      <c r="E195" s="1" t="n">
        <v>46222</v>
      </c>
      <c r="F195" t="inlineStr">
        <is>
          <t>BLEKINGE LÄN</t>
        </is>
      </c>
      <c r="G195" t="inlineStr">
        <is>
          <t>KARLSKRONA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14308-2024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45393</v>
      </c>
      <c r="E196" s="1" t="n">
        <v>46222</v>
      </c>
      <c r="F196" t="inlineStr">
        <is>
          <t>BLEKINGE LÄN</t>
        </is>
      </c>
      <c r="G196" t="inlineStr">
        <is>
          <t>KARLSKRONA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6980-2023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44967</v>
      </c>
      <c r="E197" s="1" t="n">
        <v>46222</v>
      </c>
      <c r="F197" t="inlineStr">
        <is>
          <t>BLEKINGE LÄN</t>
        </is>
      </c>
      <c r="G197" t="inlineStr">
        <is>
          <t>KARLSKRONA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13380-2024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45387</v>
      </c>
      <c r="E198" s="1" t="n">
        <v>46222</v>
      </c>
      <c r="F198" t="inlineStr">
        <is>
          <t>BLEKINGE LÄN</t>
        </is>
      </c>
      <c r="G198" t="inlineStr">
        <is>
          <t>KARLSKRONA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16783-2024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45411</v>
      </c>
      <c r="E199" s="1" t="n">
        <v>46222</v>
      </c>
      <c r="F199" t="inlineStr">
        <is>
          <t>BLEKINGE LÄN</t>
        </is>
      </c>
      <c r="G199" t="inlineStr">
        <is>
          <t>KARLSKRONA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53061-2022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44876</v>
      </c>
      <c r="E200" s="1" t="n">
        <v>46222</v>
      </c>
      <c r="F200" t="inlineStr">
        <is>
          <t>BLEKINGE LÄN</t>
        </is>
      </c>
      <c r="G200" t="inlineStr">
        <is>
          <t>KARLSKRONA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23819-2024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45455</v>
      </c>
      <c r="E201" s="1" t="n">
        <v>46222</v>
      </c>
      <c r="F201" t="inlineStr">
        <is>
          <t>BLEKINGE LÄN</t>
        </is>
      </c>
      <c r="G201" t="inlineStr">
        <is>
          <t>KARLSKRONA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50614-2022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44866</v>
      </c>
      <c r="E202" s="1" t="n">
        <v>46222</v>
      </c>
      <c r="F202" t="inlineStr">
        <is>
          <t>BLEKINGE LÄN</t>
        </is>
      </c>
      <c r="G202" t="inlineStr">
        <is>
          <t>KARLSKRONA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34813-2024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45526</v>
      </c>
      <c r="E203" s="1" t="n">
        <v>46222</v>
      </c>
      <c r="F203" t="inlineStr">
        <is>
          <t>BLEKINGE LÄN</t>
        </is>
      </c>
      <c r="G203" t="inlineStr">
        <is>
          <t>KARLSKRONA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45266</v>
      </c>
      <c r="E204" s="1" t="n">
        <v>46222</v>
      </c>
      <c r="F204" t="inlineStr">
        <is>
          <t>BLEKINGE LÄN</t>
        </is>
      </c>
      <c r="G204" t="inlineStr">
        <is>
          <t>KARLSKRONA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24474-2024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45458</v>
      </c>
      <c r="E205" s="1" t="n">
        <v>46222</v>
      </c>
      <c r="F205" t="inlineStr">
        <is>
          <t>BLEKINGE LÄN</t>
        </is>
      </c>
      <c r="G205" t="inlineStr">
        <is>
          <t>KARLSKRONA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59981-2023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45257</v>
      </c>
      <c r="E206" s="1" t="n">
        <v>46222</v>
      </c>
      <c r="F206" t="inlineStr">
        <is>
          <t>BLEKINGE LÄN</t>
        </is>
      </c>
      <c r="G206" t="inlineStr">
        <is>
          <t>KARLSKRONA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3012-2024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45315</v>
      </c>
      <c r="E207" s="1" t="n">
        <v>46222</v>
      </c>
      <c r="F207" t="inlineStr">
        <is>
          <t>BLEKINGE LÄN</t>
        </is>
      </c>
      <c r="G207" t="inlineStr">
        <is>
          <t>KARLSKRONA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51477-2021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44461</v>
      </c>
      <c r="E208" s="1" t="n">
        <v>46222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21880-2024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45443</v>
      </c>
      <c r="E209" s="1" t="n">
        <v>46222</v>
      </c>
      <c r="F209" t="inlineStr">
        <is>
          <t>BLEKINGE LÄN</t>
        </is>
      </c>
      <c r="G209" t="inlineStr">
        <is>
          <t>KARLSKRONA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34283-2023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45127</v>
      </c>
      <c r="E210" s="1" t="n">
        <v>46222</v>
      </c>
      <c r="F210" t="inlineStr">
        <is>
          <t>BLEKINGE LÄN</t>
        </is>
      </c>
      <c r="G210" t="inlineStr">
        <is>
          <t>KARLSKRONA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2197-2024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45309</v>
      </c>
      <c r="E211" s="1" t="n">
        <v>46222</v>
      </c>
      <c r="F211" t="inlineStr">
        <is>
          <t>BLEKINGE LÄN</t>
        </is>
      </c>
      <c r="G211" t="inlineStr">
        <is>
          <t>KARLSKRONA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30958-2023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45113</v>
      </c>
      <c r="E212" s="1" t="n">
        <v>46222</v>
      </c>
      <c r="F212" t="inlineStr">
        <is>
          <t>BLEKINGE LÄN</t>
        </is>
      </c>
      <c r="G212" t="inlineStr">
        <is>
          <t>KARLSKRONA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54942-2021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44473</v>
      </c>
      <c r="E213" s="1" t="n">
        <v>46222</v>
      </c>
      <c r="F213" t="inlineStr">
        <is>
          <t>BLEKINGE LÄN</t>
        </is>
      </c>
      <c r="G213" t="inlineStr">
        <is>
          <t>KARLSKRONA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2093-2023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44939</v>
      </c>
      <c r="E214" s="1" t="n">
        <v>46222</v>
      </c>
      <c r="F214" t="inlineStr">
        <is>
          <t>BLEKINGE LÄN</t>
        </is>
      </c>
      <c r="G214" t="inlineStr">
        <is>
          <t>KARLSKRONA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2094-2023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44939</v>
      </c>
      <c r="E215" s="1" t="n">
        <v>46222</v>
      </c>
      <c r="F215" t="inlineStr">
        <is>
          <t>BLEKINGE LÄN</t>
        </is>
      </c>
      <c r="G215" t="inlineStr">
        <is>
          <t>KARLSKRONA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27749-2024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46222</v>
      </c>
      <c r="F216" t="inlineStr">
        <is>
          <t>BLEKINGE LÄN</t>
        </is>
      </c>
      <c r="G216" t="inlineStr">
        <is>
          <t>KARLSKRONA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17170-2023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45030</v>
      </c>
      <c r="E217" s="1" t="n">
        <v>46222</v>
      </c>
      <c r="F217" t="inlineStr">
        <is>
          <t>BLEKINGE LÄN</t>
        </is>
      </c>
      <c r="G217" t="inlineStr">
        <is>
          <t>KARLSKRONA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32327-2024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45512</v>
      </c>
      <c r="E218" s="1" t="n">
        <v>46222</v>
      </c>
      <c r="F218" t="inlineStr">
        <is>
          <t>BLEKINGE LÄN</t>
        </is>
      </c>
      <c r="G218" t="inlineStr">
        <is>
          <t>KARLSKRONA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31009-2024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45499</v>
      </c>
      <c r="E219" s="1" t="n">
        <v>46222</v>
      </c>
      <c r="F219" t="inlineStr">
        <is>
          <t>BLEKINGE LÄN</t>
        </is>
      </c>
      <c r="G219" t="inlineStr">
        <is>
          <t>KARLSKRONA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56539-2022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46222</v>
      </c>
      <c r="F220" t="inlineStr">
        <is>
          <t>BLEKINGE LÄN</t>
        </is>
      </c>
      <c r="G220" t="inlineStr">
        <is>
          <t>KARLSKRONA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11644-2024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46222</v>
      </c>
      <c r="F221" t="inlineStr">
        <is>
          <t>BLEKINGE LÄN</t>
        </is>
      </c>
      <c r="G221" t="inlineStr">
        <is>
          <t>KARLSKRONA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4687-2022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44592</v>
      </c>
      <c r="E222" s="1" t="n">
        <v>46222</v>
      </c>
      <c r="F222" t="inlineStr">
        <is>
          <t>BLEKINGE LÄN</t>
        </is>
      </c>
      <c r="G222" t="inlineStr">
        <is>
          <t>KARLSKRONA</t>
        </is>
      </c>
      <c r="I222" t="n">
        <v>11.8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61679-2024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45647</v>
      </c>
      <c r="E223" s="1" t="n">
        <v>46222</v>
      </c>
      <c r="F223" t="inlineStr">
        <is>
          <t>BLEKINGE LÄN</t>
        </is>
      </c>
      <c r="G223" t="inlineStr">
        <is>
          <t>KARLSKRONA</t>
        </is>
      </c>
      <c r="I223" t="n">
        <v>20.2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34137-2024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45524</v>
      </c>
      <c r="E224" s="1" t="n">
        <v>46222</v>
      </c>
      <c r="F224" t="inlineStr">
        <is>
          <t>BLEKINGE LÄN</t>
        </is>
      </c>
      <c r="G224" t="inlineStr">
        <is>
          <t>KARLSKRONA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8104-2022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44609</v>
      </c>
      <c r="E225" s="1" t="n">
        <v>46222</v>
      </c>
      <c r="F225" t="inlineStr">
        <is>
          <t>BLEKINGE LÄN</t>
        </is>
      </c>
      <c r="G225" t="inlineStr">
        <is>
          <t>KARLSKRONA</t>
        </is>
      </c>
      <c r="H225" t="inlineStr">
        <is>
          <t>Kommuner</t>
        </is>
      </c>
      <c r="I225" t="n">
        <v>4.3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39361-2024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45551</v>
      </c>
      <c r="E226" s="1" t="n">
        <v>46222</v>
      </c>
      <c r="F226" t="inlineStr">
        <is>
          <t>BLEKINGE LÄN</t>
        </is>
      </c>
      <c r="G226" t="inlineStr">
        <is>
          <t>KARLSKRONA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38526-2023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46222</v>
      </c>
      <c r="F227" t="inlineStr">
        <is>
          <t>BLEKINGE LÄN</t>
        </is>
      </c>
      <c r="G227" t="inlineStr">
        <is>
          <t>KARLSKRONA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3295-2022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44584</v>
      </c>
      <c r="E228" s="1" t="n">
        <v>46222</v>
      </c>
      <c r="F228" t="inlineStr">
        <is>
          <t>BLEKINGE LÄN</t>
        </is>
      </c>
      <c r="G228" t="inlineStr">
        <is>
          <t>KARLSKRONA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14362-2024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45393</v>
      </c>
      <c r="E229" s="1" t="n">
        <v>46222</v>
      </c>
      <c r="F229" t="inlineStr">
        <is>
          <t>BLEKINGE LÄN</t>
        </is>
      </c>
      <c r="G229" t="inlineStr">
        <is>
          <t>KARLSKRONA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2413-2025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45674</v>
      </c>
      <c r="E230" s="1" t="n">
        <v>46222</v>
      </c>
      <c r="F230" t="inlineStr">
        <is>
          <t>BLEKINGE LÄN</t>
        </is>
      </c>
      <c r="G230" t="inlineStr">
        <is>
          <t>KARLSKRONA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3475-2026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46042</v>
      </c>
      <c r="E231" s="1" t="n">
        <v>46222</v>
      </c>
      <c r="F231" t="inlineStr">
        <is>
          <t>BLEKINGE LÄN</t>
        </is>
      </c>
      <c r="G231" t="inlineStr">
        <is>
          <t>KARLSKRONA</t>
        </is>
      </c>
      <c r="I231" t="n">
        <v>6.4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3452-2026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46042</v>
      </c>
      <c r="E232" s="1" t="n">
        <v>46222</v>
      </c>
      <c r="F232" t="inlineStr">
        <is>
          <t>BLEKINGE LÄN</t>
        </is>
      </c>
      <c r="G232" t="inlineStr">
        <is>
          <t>KARLSKRONA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3455-2026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46042</v>
      </c>
      <c r="E233" s="1" t="n">
        <v>46222</v>
      </c>
      <c r="F233" t="inlineStr">
        <is>
          <t>BLEKINGE LÄN</t>
        </is>
      </c>
      <c r="G233" t="inlineStr">
        <is>
          <t>KARLSKRONA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11253-2023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46222</v>
      </c>
      <c r="F234" t="inlineStr">
        <is>
          <t>BLEKINGE LÄN</t>
        </is>
      </c>
      <c r="G234" t="inlineStr">
        <is>
          <t>KARLSKRONA</t>
        </is>
      </c>
      <c r="I234" t="n">
        <v>4.9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23592-2023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45077</v>
      </c>
      <c r="E235" s="1" t="n">
        <v>46222</v>
      </c>
      <c r="F235" t="inlineStr">
        <is>
          <t>BLEKINGE LÄN</t>
        </is>
      </c>
      <c r="G235" t="inlineStr">
        <is>
          <t>KARLSKRONA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8946-2022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44614</v>
      </c>
      <c r="E236" s="1" t="n">
        <v>46222</v>
      </c>
      <c r="F236" t="inlineStr">
        <is>
          <t>BLEKINGE LÄN</t>
        </is>
      </c>
      <c r="G236" t="inlineStr">
        <is>
          <t>KARLSKRONA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60922-2024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45645</v>
      </c>
      <c r="E237" s="1" t="n">
        <v>46222</v>
      </c>
      <c r="F237" t="inlineStr">
        <is>
          <t>BLEKINGE LÄN</t>
        </is>
      </c>
      <c r="G237" t="inlineStr">
        <is>
          <t>KARLSKRONA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60924-2024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45645</v>
      </c>
      <c r="E238" s="1" t="n">
        <v>46222</v>
      </c>
      <c r="F238" t="inlineStr">
        <is>
          <t>BLEKINGE LÄN</t>
        </is>
      </c>
      <c r="G238" t="inlineStr">
        <is>
          <t>KARLSKRONA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19142-2022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44691</v>
      </c>
      <c r="E239" s="1" t="n">
        <v>46222</v>
      </c>
      <c r="F239" t="inlineStr">
        <is>
          <t>BLEKINGE LÄN</t>
        </is>
      </c>
      <c r="G239" t="inlineStr">
        <is>
          <t>KARLSKRONA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3928-2022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46222</v>
      </c>
      <c r="F240" t="inlineStr">
        <is>
          <t>BLEKINGE LÄN</t>
        </is>
      </c>
      <c r="G240" t="inlineStr">
        <is>
          <t>KARLSKRONA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13786-2023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45007</v>
      </c>
      <c r="E241" s="1" t="n">
        <v>46222</v>
      </c>
      <c r="F241" t="inlineStr">
        <is>
          <t>BLEKINGE LÄN</t>
        </is>
      </c>
      <c r="G241" t="inlineStr">
        <is>
          <t>KARLSKRONA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53994-2024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45616</v>
      </c>
      <c r="E242" s="1" t="n">
        <v>46222</v>
      </c>
      <c r="F242" t="inlineStr">
        <is>
          <t>BLEKINGE LÄN</t>
        </is>
      </c>
      <c r="G242" t="inlineStr">
        <is>
          <t>KARLSKRONA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14644-2025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45742</v>
      </c>
      <c r="E243" s="1" t="n">
        <v>46222</v>
      </c>
      <c r="F243" t="inlineStr">
        <is>
          <t>BLEKINGE LÄN</t>
        </is>
      </c>
      <c r="G243" t="inlineStr">
        <is>
          <t>KARLSKRONA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2095-2023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44939</v>
      </c>
      <c r="E244" s="1" t="n">
        <v>46222</v>
      </c>
      <c r="F244" t="inlineStr">
        <is>
          <t>BLEKINGE LÄN</t>
        </is>
      </c>
      <c r="G244" t="inlineStr">
        <is>
          <t>KARLSKRONA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16275-2023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45028</v>
      </c>
      <c r="E245" s="1" t="n">
        <v>46222</v>
      </c>
      <c r="F245" t="inlineStr">
        <is>
          <t>BLEKINGE LÄN</t>
        </is>
      </c>
      <c r="G245" t="inlineStr">
        <is>
          <t>KARLSKRONA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16290-2023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45028</v>
      </c>
      <c r="E246" s="1" t="n">
        <v>46222</v>
      </c>
      <c r="F246" t="inlineStr">
        <is>
          <t>BLEKINGE LÄN</t>
        </is>
      </c>
      <c r="G246" t="inlineStr">
        <is>
          <t>KARLSKRONA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36582-2024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45537</v>
      </c>
      <c r="E247" s="1" t="n">
        <v>46222</v>
      </c>
      <c r="F247" t="inlineStr">
        <is>
          <t>BLEKINGE LÄN</t>
        </is>
      </c>
      <c r="G247" t="inlineStr">
        <is>
          <t>KARLSKRONA</t>
        </is>
      </c>
      <c r="I247" t="n">
        <v>4.3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19268-2022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44692</v>
      </c>
      <c r="E248" s="1" t="n">
        <v>46222</v>
      </c>
      <c r="F248" t="inlineStr">
        <is>
          <t>BLEKINGE LÄN</t>
        </is>
      </c>
      <c r="G248" t="inlineStr">
        <is>
          <t>KARLSKRONA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38783-2025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46222</v>
      </c>
      <c r="F249" t="inlineStr">
        <is>
          <t>BLEKINGE LÄN</t>
        </is>
      </c>
      <c r="G249" t="inlineStr">
        <is>
          <t>KARLSKRONA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42613-2024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45565</v>
      </c>
      <c r="E250" s="1" t="n">
        <v>46222</v>
      </c>
      <c r="F250" t="inlineStr">
        <is>
          <t>BLEKINGE LÄN</t>
        </is>
      </c>
      <c r="G250" t="inlineStr">
        <is>
          <t>KARLSKRONA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61749-2022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44911</v>
      </c>
      <c r="E251" s="1" t="n">
        <v>46222</v>
      </c>
      <c r="F251" t="inlineStr">
        <is>
          <t>BLEKINGE LÄN</t>
        </is>
      </c>
      <c r="G251" t="inlineStr">
        <is>
          <t>KARLSKRONA</t>
        </is>
      </c>
      <c r="I251" t="n">
        <v>14.2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16077-2025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46222</v>
      </c>
      <c r="F252" t="inlineStr">
        <is>
          <t>BLEKINGE LÄN</t>
        </is>
      </c>
      <c r="G252" t="inlineStr">
        <is>
          <t>KARLSKRONA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60960-2023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45261</v>
      </c>
      <c r="E253" s="1" t="n">
        <v>46222</v>
      </c>
      <c r="F253" t="inlineStr">
        <is>
          <t>BLEKINGE LÄN</t>
        </is>
      </c>
      <c r="G253" t="inlineStr">
        <is>
          <t>KARLSKRONA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13922-2025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46222</v>
      </c>
      <c r="F254" t="inlineStr">
        <is>
          <t>BLEKINGE LÄN</t>
        </is>
      </c>
      <c r="G254" t="inlineStr">
        <is>
          <t>KARLSKRONA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59122-2024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45637</v>
      </c>
      <c r="E255" s="1" t="n">
        <v>46222</v>
      </c>
      <c r="F255" t="inlineStr">
        <is>
          <t>BLEKINGE LÄN</t>
        </is>
      </c>
      <c r="G255" t="inlineStr">
        <is>
          <t>KARLSKRONA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6737-2026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46055</v>
      </c>
      <c r="E256" s="1" t="n">
        <v>46222</v>
      </c>
      <c r="F256" t="inlineStr">
        <is>
          <t>BLEKINGE LÄN</t>
        </is>
      </c>
      <c r="G256" t="inlineStr">
        <is>
          <t>KARLSKRONA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4835-2026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46048</v>
      </c>
      <c r="E257" s="1" t="n">
        <v>46222</v>
      </c>
      <c r="F257" t="inlineStr">
        <is>
          <t>BLEKINGE LÄN</t>
        </is>
      </c>
      <c r="G257" t="inlineStr">
        <is>
          <t>KARLSKRONA</t>
        </is>
      </c>
      <c r="I257" t="n">
        <v>5.6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4836-2026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46048</v>
      </c>
      <c r="E258" s="1" t="n">
        <v>46222</v>
      </c>
      <c r="F258" t="inlineStr">
        <is>
          <t>BLEKINGE LÄN</t>
        </is>
      </c>
      <c r="G258" t="inlineStr">
        <is>
          <t>KARLSKRONA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8327-2023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46222</v>
      </c>
      <c r="F259" t="inlineStr">
        <is>
          <t>BLEKINGE LÄN</t>
        </is>
      </c>
      <c r="G259" t="inlineStr">
        <is>
          <t>KARLSKRONA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19515-2022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44693</v>
      </c>
      <c r="E260" s="1" t="n">
        <v>46222</v>
      </c>
      <c r="F260" t="inlineStr">
        <is>
          <t>BLEKINGE LÄN</t>
        </is>
      </c>
      <c r="G260" t="inlineStr">
        <is>
          <t>KARLSKRONA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29935-2025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45826</v>
      </c>
      <c r="E261" s="1" t="n">
        <v>46222</v>
      </c>
      <c r="F261" t="inlineStr">
        <is>
          <t>BLEKINGE LÄN</t>
        </is>
      </c>
      <c r="G261" t="inlineStr">
        <is>
          <t>KARLSKRONA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40219-2023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45169</v>
      </c>
      <c r="E262" s="1" t="n">
        <v>46222</v>
      </c>
      <c r="F262" t="inlineStr">
        <is>
          <t>BLEKINGE LÄN</t>
        </is>
      </c>
      <c r="G262" t="inlineStr">
        <is>
          <t>KARLSKRONA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62111-2022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44920</v>
      </c>
      <c r="E263" s="1" t="n">
        <v>46222</v>
      </c>
      <c r="F263" t="inlineStr">
        <is>
          <t>BLEKINGE LÄN</t>
        </is>
      </c>
      <c r="G263" t="inlineStr">
        <is>
          <t>KARLSKRONA</t>
        </is>
      </c>
      <c r="I263" t="n">
        <v>25.5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45324</v>
      </c>
      <c r="E264" s="1" t="n">
        <v>46222</v>
      </c>
      <c r="F264" t="inlineStr">
        <is>
          <t>BLEKINGE LÄN</t>
        </is>
      </c>
      <c r="G264" t="inlineStr">
        <is>
          <t>KARLSKRONA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17820-2023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46222</v>
      </c>
      <c r="F265" t="inlineStr">
        <is>
          <t>BLEKINGE LÄN</t>
        </is>
      </c>
      <c r="G265" t="inlineStr">
        <is>
          <t>KARLSKRONA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5132-2026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46049</v>
      </c>
      <c r="E266" s="1" t="n">
        <v>46222</v>
      </c>
      <c r="F266" t="inlineStr">
        <is>
          <t>BLEKINGE LÄN</t>
        </is>
      </c>
      <c r="G266" t="inlineStr">
        <is>
          <t>KARLSKRONA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58729-2023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45251</v>
      </c>
      <c r="E267" s="1" t="n">
        <v>46222</v>
      </c>
      <c r="F267" t="inlineStr">
        <is>
          <t>BLEKINGE LÄN</t>
        </is>
      </c>
      <c r="G267" t="inlineStr">
        <is>
          <t>KARLSKRONA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27375-2025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45812</v>
      </c>
      <c r="E268" s="1" t="n">
        <v>46222</v>
      </c>
      <c r="F268" t="inlineStr">
        <is>
          <t>BLEKINGE LÄN</t>
        </is>
      </c>
      <c r="G268" t="inlineStr">
        <is>
          <t>KARLSKRONA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34318-2025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45846</v>
      </c>
      <c r="E269" s="1" t="n">
        <v>46222</v>
      </c>
      <c r="F269" t="inlineStr">
        <is>
          <t>BLEKINGE LÄN</t>
        </is>
      </c>
      <c r="G269" t="inlineStr">
        <is>
          <t>KARLSKRONA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10112-2023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44986</v>
      </c>
      <c r="E270" s="1" t="n">
        <v>46222</v>
      </c>
      <c r="F270" t="inlineStr">
        <is>
          <t>BLEKINGE LÄN</t>
        </is>
      </c>
      <c r="G270" t="inlineStr">
        <is>
          <t>KARLSKRONA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20527-2023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45057</v>
      </c>
      <c r="E271" s="1" t="n">
        <v>46222</v>
      </c>
      <c r="F271" t="inlineStr">
        <is>
          <t>BLEKINGE LÄN</t>
        </is>
      </c>
      <c r="G271" t="inlineStr">
        <is>
          <t>KARLSKRONA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42777-2025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45908</v>
      </c>
      <c r="E272" s="1" t="n">
        <v>46222</v>
      </c>
      <c r="F272" t="inlineStr">
        <is>
          <t>BLEKINGE LÄN</t>
        </is>
      </c>
      <c r="G272" t="inlineStr">
        <is>
          <t>KARLSKRONA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28458-2022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44747</v>
      </c>
      <c r="E273" s="1" t="n">
        <v>46222</v>
      </c>
      <c r="F273" t="inlineStr">
        <is>
          <t>BLEKINGE LÄN</t>
        </is>
      </c>
      <c r="G273" t="inlineStr">
        <is>
          <t>KARLSKRONA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34949-2023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46222</v>
      </c>
      <c r="F274" t="inlineStr">
        <is>
          <t>BLEKINGE LÄN</t>
        </is>
      </c>
      <c r="G274" t="inlineStr">
        <is>
          <t>KARLSKRONA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59707-2023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45256</v>
      </c>
      <c r="E275" s="1" t="n">
        <v>46222</v>
      </c>
      <c r="F275" t="inlineStr">
        <is>
          <t>BLEKINGE LÄN</t>
        </is>
      </c>
      <c r="G275" t="inlineStr">
        <is>
          <t>KARLSKRONA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50897-2023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45218</v>
      </c>
      <c r="E276" s="1" t="n">
        <v>46222</v>
      </c>
      <c r="F276" t="inlineStr">
        <is>
          <t>BLEKINGE LÄN</t>
        </is>
      </c>
      <c r="G276" t="inlineStr">
        <is>
          <t>KARLSKRONA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24938-2023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45085</v>
      </c>
      <c r="E277" s="1" t="n">
        <v>46222</v>
      </c>
      <c r="F277" t="inlineStr">
        <is>
          <t>BLEKINGE LÄN</t>
        </is>
      </c>
      <c r="G277" t="inlineStr">
        <is>
          <t>KARLSKRONA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29914-2022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44756</v>
      </c>
      <c r="E278" s="1" t="n">
        <v>46222</v>
      </c>
      <c r="F278" t="inlineStr">
        <is>
          <t>BLEKINGE LÄN</t>
        </is>
      </c>
      <c r="G278" t="inlineStr">
        <is>
          <t>KARLSKRONA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5802-2026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46051</v>
      </c>
      <c r="E279" s="1" t="n">
        <v>46222</v>
      </c>
      <c r="F279" t="inlineStr">
        <is>
          <t>BLEKINGE LÄN</t>
        </is>
      </c>
      <c r="G279" t="inlineStr">
        <is>
          <t>KARLSKRONA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56335-2023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45243</v>
      </c>
      <c r="E280" s="1" t="n">
        <v>46222</v>
      </c>
      <c r="F280" t="inlineStr">
        <is>
          <t>BLEKINGE LÄN</t>
        </is>
      </c>
      <c r="G280" t="inlineStr">
        <is>
          <t>KARLSKRONA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32957-2025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45839</v>
      </c>
      <c r="E281" s="1" t="n">
        <v>46222</v>
      </c>
      <c r="F281" t="inlineStr">
        <is>
          <t>BLEKINGE LÄN</t>
        </is>
      </c>
      <c r="G281" t="inlineStr">
        <is>
          <t>KARLSKRONA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32680-2025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45838</v>
      </c>
      <c r="E282" s="1" t="n">
        <v>46222</v>
      </c>
      <c r="F282" t="inlineStr">
        <is>
          <t>BLEKINGE LÄN</t>
        </is>
      </c>
      <c r="G282" t="inlineStr">
        <is>
          <t>KARLSKRONA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12517-2022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44638</v>
      </c>
      <c r="E283" s="1" t="n">
        <v>46222</v>
      </c>
      <c r="F283" t="inlineStr">
        <is>
          <t>BLEKINGE LÄN</t>
        </is>
      </c>
      <c r="G283" t="inlineStr">
        <is>
          <t>KARLSKRONA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8619-2025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45711</v>
      </c>
      <c r="E284" s="1" t="n">
        <v>46222</v>
      </c>
      <c r="F284" t="inlineStr">
        <is>
          <t>BLEKINGE LÄN</t>
        </is>
      </c>
      <c r="G284" t="inlineStr">
        <is>
          <t>KARLSKRONA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58627-2023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45251</v>
      </c>
      <c r="E285" s="1" t="n">
        <v>46222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44577-2025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45917</v>
      </c>
      <c r="E286" s="1" t="n">
        <v>46222</v>
      </c>
      <c r="F286" t="inlineStr">
        <is>
          <t>BLEKINGE LÄN</t>
        </is>
      </c>
      <c r="G286" t="inlineStr">
        <is>
          <t>KARLSKRONA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44989-2025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45918</v>
      </c>
      <c r="E287" s="1" t="n">
        <v>46222</v>
      </c>
      <c r="F287" t="inlineStr">
        <is>
          <t>BLEKINGE LÄN</t>
        </is>
      </c>
      <c r="G287" t="inlineStr">
        <is>
          <t>KARLSKRONA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5882-2025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45695</v>
      </c>
      <c r="E288" s="1" t="n">
        <v>46222</v>
      </c>
      <c r="F288" t="inlineStr">
        <is>
          <t>BLEKINGE LÄN</t>
        </is>
      </c>
      <c r="G288" t="inlineStr">
        <is>
          <t>KARLSKRONA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5801-2026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46051</v>
      </c>
      <c r="E289" s="1" t="n">
        <v>46222</v>
      </c>
      <c r="F289" t="inlineStr">
        <is>
          <t>BLEKINGE LÄN</t>
        </is>
      </c>
      <c r="G289" t="inlineStr">
        <is>
          <t>KARLSKRONA</t>
        </is>
      </c>
      <c r="I289" t="n">
        <v>7.1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5799-2026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46051</v>
      </c>
      <c r="E290" s="1" t="n">
        <v>46222</v>
      </c>
      <c r="F290" t="inlineStr">
        <is>
          <t>BLEKINGE LÄN</t>
        </is>
      </c>
      <c r="G290" t="inlineStr">
        <is>
          <t>KARLSKRONA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45368-2025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45922</v>
      </c>
      <c r="E291" s="1" t="n">
        <v>46222</v>
      </c>
      <c r="F291" t="inlineStr">
        <is>
          <t>BLEKINGE LÄN</t>
        </is>
      </c>
      <c r="G291" t="inlineStr">
        <is>
          <t>KARLSKRONA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45377-2025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45922</v>
      </c>
      <c r="E292" s="1" t="n">
        <v>46222</v>
      </c>
      <c r="F292" t="inlineStr">
        <is>
          <t>BLEKINGE LÄN</t>
        </is>
      </c>
      <c r="G292" t="inlineStr">
        <is>
          <t>KARLSKRONA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44549-2025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45917</v>
      </c>
      <c r="E293" s="1" t="n">
        <v>46222</v>
      </c>
      <c r="F293" t="inlineStr">
        <is>
          <t>BLEKINGE LÄN</t>
        </is>
      </c>
      <c r="G293" t="inlineStr">
        <is>
          <t>KARLSKRONA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47260-2024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45586</v>
      </c>
      <c r="E294" s="1" t="n">
        <v>46222</v>
      </c>
      <c r="F294" t="inlineStr">
        <is>
          <t>BLEKINGE LÄN</t>
        </is>
      </c>
      <c r="G294" t="inlineStr">
        <is>
          <t>KARLSKRONA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27378-2025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46222</v>
      </c>
      <c r="F295" t="inlineStr">
        <is>
          <t>BLEKINGE LÄN</t>
        </is>
      </c>
      <c r="G295" t="inlineStr">
        <is>
          <t>KARLSKRONA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45770-2025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45923</v>
      </c>
      <c r="E296" s="1" t="n">
        <v>46222</v>
      </c>
      <c r="F296" t="inlineStr">
        <is>
          <t>BLEKINGE LÄN</t>
        </is>
      </c>
      <c r="G296" t="inlineStr">
        <is>
          <t>KARLSKRONA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9763-2022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44619</v>
      </c>
      <c r="E297" s="1" t="n">
        <v>46222</v>
      </c>
      <c r="F297" t="inlineStr">
        <is>
          <t>BLEKINGE LÄN</t>
        </is>
      </c>
      <c r="G297" t="inlineStr">
        <is>
          <t>KARLSKRONA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14131-2023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46222</v>
      </c>
      <c r="F298" t="inlineStr">
        <is>
          <t>BLEKINGE LÄN</t>
        </is>
      </c>
      <c r="G298" t="inlineStr">
        <is>
          <t>KARLSKRONA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64056-2023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45279</v>
      </c>
      <c r="E299" s="1" t="n">
        <v>46222</v>
      </c>
      <c r="F299" t="inlineStr">
        <is>
          <t>BLEKINGE LÄN</t>
        </is>
      </c>
      <c r="G299" t="inlineStr">
        <is>
          <t>KARLSKRONA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45718-2025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45923</v>
      </c>
      <c r="E300" s="1" t="n">
        <v>46222</v>
      </c>
      <c r="F300" t="inlineStr">
        <is>
          <t>BLEKINGE LÄN</t>
        </is>
      </c>
      <c r="G300" t="inlineStr">
        <is>
          <t>KARLSKRONA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45687-2025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45923</v>
      </c>
      <c r="E301" s="1" t="n">
        <v>46222</v>
      </c>
      <c r="F301" t="inlineStr">
        <is>
          <t>BLEKINGE LÄN</t>
        </is>
      </c>
      <c r="G301" t="inlineStr">
        <is>
          <t>KARLSKRONA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6953-2023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44967</v>
      </c>
      <c r="E302" s="1" t="n">
        <v>46222</v>
      </c>
      <c r="F302" t="inlineStr">
        <is>
          <t>BLEKINGE LÄN</t>
        </is>
      </c>
      <c r="G302" t="inlineStr">
        <is>
          <t>KARLSKRONA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7889-2024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45350</v>
      </c>
      <c r="E303" s="1" t="n">
        <v>46222</v>
      </c>
      <c r="F303" t="inlineStr">
        <is>
          <t>BLEKINGE LÄN</t>
        </is>
      </c>
      <c r="G303" t="inlineStr">
        <is>
          <t>KARLSKRONA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2191-2024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45309</v>
      </c>
      <c r="E304" s="1" t="n">
        <v>46222</v>
      </c>
      <c r="F304" t="inlineStr">
        <is>
          <t>BLEKINGE LÄN</t>
        </is>
      </c>
      <c r="G304" t="inlineStr">
        <is>
          <t>KARLSKRONA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6102-2026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46052</v>
      </c>
      <c r="E305" s="1" t="n">
        <v>46222</v>
      </c>
      <c r="F305" t="inlineStr">
        <is>
          <t>BLEKINGE LÄN</t>
        </is>
      </c>
      <c r="G305" t="inlineStr">
        <is>
          <t>KARLSKRONA</t>
        </is>
      </c>
      <c r="I305" t="n">
        <v>6.2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15589-2025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45747</v>
      </c>
      <c r="E306" s="1" t="n">
        <v>46222</v>
      </c>
      <c r="F306" t="inlineStr">
        <is>
          <t>BLEKINGE LÄN</t>
        </is>
      </c>
      <c r="G306" t="inlineStr">
        <is>
          <t>KARLSKRONA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3315-2024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46222</v>
      </c>
      <c r="F307" t="inlineStr">
        <is>
          <t>BLEKINGE LÄN</t>
        </is>
      </c>
      <c r="G307" t="inlineStr">
        <is>
          <t>KARLSKRONA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20606-2022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46222</v>
      </c>
      <c r="F308" t="inlineStr">
        <is>
          <t>BLEKINGE LÄN</t>
        </is>
      </c>
      <c r="G308" t="inlineStr">
        <is>
          <t>KARLSKRONA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24155-2024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45456</v>
      </c>
      <c r="E309" s="1" t="n">
        <v>46222</v>
      </c>
      <c r="F309" t="inlineStr">
        <is>
          <t>BLEKINGE LÄN</t>
        </is>
      </c>
      <c r="G309" t="inlineStr">
        <is>
          <t>KARLSKRONA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38788-2025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46222</v>
      </c>
      <c r="F310" t="inlineStr">
        <is>
          <t>BLEKINGE LÄN</t>
        </is>
      </c>
      <c r="G310" t="inlineStr">
        <is>
          <t>KARLSKRONA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46354-2025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45925</v>
      </c>
      <c r="E311" s="1" t="n">
        <v>46222</v>
      </c>
      <c r="F311" t="inlineStr">
        <is>
          <t>BLEKINGE LÄN</t>
        </is>
      </c>
      <c r="G311" t="inlineStr">
        <is>
          <t>KARLSKRONA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47242-2025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45930</v>
      </c>
      <c r="E312" s="1" t="n">
        <v>46222</v>
      </c>
      <c r="F312" t="inlineStr">
        <is>
          <t>BLEKINGE LÄN</t>
        </is>
      </c>
      <c r="G312" t="inlineStr">
        <is>
          <t>KARLSKRONA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47155-2025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45929</v>
      </c>
      <c r="E313" s="1" t="n">
        <v>46222</v>
      </c>
      <c r="F313" t="inlineStr">
        <is>
          <t>BLEKINGE LÄN</t>
        </is>
      </c>
      <c r="G313" t="inlineStr">
        <is>
          <t>KARLSKRONA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26486-2023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45092</v>
      </c>
      <c r="E314" s="1" t="n">
        <v>46222</v>
      </c>
      <c r="F314" t="inlineStr">
        <is>
          <t>BLEKINGE LÄN</t>
        </is>
      </c>
      <c r="G314" t="inlineStr">
        <is>
          <t>KARLSKRONA</t>
        </is>
      </c>
      <c r="I314" t="n">
        <v>8.6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47159-2025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45929</v>
      </c>
      <c r="E315" s="1" t="n">
        <v>46222</v>
      </c>
      <c r="F315" t="inlineStr">
        <is>
          <t>BLEKINGE LÄN</t>
        </is>
      </c>
      <c r="G315" t="inlineStr">
        <is>
          <t>KARLSKRONA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6602-2026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46222</v>
      </c>
      <c r="F316" t="inlineStr">
        <is>
          <t>BLEKINGE LÄN</t>
        </is>
      </c>
      <c r="G316" t="inlineStr">
        <is>
          <t>KARLSKRONA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1909-2024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45308</v>
      </c>
      <c r="E317" s="1" t="n">
        <v>46222</v>
      </c>
      <c r="F317" t="inlineStr">
        <is>
          <t>BLEKINGE LÄN</t>
        </is>
      </c>
      <c r="G317" t="inlineStr">
        <is>
          <t>KARLSKRONA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29913-2023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45107</v>
      </c>
      <c r="E318" s="1" t="n">
        <v>46222</v>
      </c>
      <c r="F318" t="inlineStr">
        <is>
          <t>BLEKINGE LÄN</t>
        </is>
      </c>
      <c r="G318" t="inlineStr">
        <is>
          <t>KARLSKRONA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24286-2023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45079</v>
      </c>
      <c r="E319" s="1" t="n">
        <v>46222</v>
      </c>
      <c r="F319" t="inlineStr">
        <is>
          <t>BLEKINGE LÄN</t>
        </is>
      </c>
      <c r="G319" t="inlineStr">
        <is>
          <t>KARLSKRONA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51455-2024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45604</v>
      </c>
      <c r="E320" s="1" t="n">
        <v>46222</v>
      </c>
      <c r="F320" t="inlineStr">
        <is>
          <t>BLEKINGE LÄN</t>
        </is>
      </c>
      <c r="G320" t="inlineStr">
        <is>
          <t>KARLSKRONA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61882-2023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45266</v>
      </c>
      <c r="E321" s="1" t="n">
        <v>46222</v>
      </c>
      <c r="F321" t="inlineStr">
        <is>
          <t>BLEKINGE LÄN</t>
        </is>
      </c>
      <c r="G321" t="inlineStr">
        <is>
          <t>KARLSKRONA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30064-2022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44757</v>
      </c>
      <c r="E322" s="1" t="n">
        <v>46222</v>
      </c>
      <c r="F322" t="inlineStr">
        <is>
          <t>BLEKINGE LÄN</t>
        </is>
      </c>
      <c r="G322" t="inlineStr">
        <is>
          <t>KARLSKRONA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13411-2025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45735</v>
      </c>
      <c r="E323" s="1" t="n">
        <v>46222</v>
      </c>
      <c r="F323" t="inlineStr">
        <is>
          <t>BLEKINGE LÄN</t>
        </is>
      </c>
      <c r="G323" t="inlineStr">
        <is>
          <t>KARLSKRONA</t>
        </is>
      </c>
      <c r="I323" t="n">
        <v>11.8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50831-2024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45602</v>
      </c>
      <c r="E324" s="1" t="n">
        <v>46222</v>
      </c>
      <c r="F324" t="inlineStr">
        <is>
          <t>BLEKINGE LÄN</t>
        </is>
      </c>
      <c r="G324" t="inlineStr">
        <is>
          <t>KARLSKRONA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50846-2024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45602</v>
      </c>
      <c r="E325" s="1" t="n">
        <v>46222</v>
      </c>
      <c r="F325" t="inlineStr">
        <is>
          <t>BLEKINGE LÄN</t>
        </is>
      </c>
      <c r="G325" t="inlineStr">
        <is>
          <t>KARLSKRONA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22643-2025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45789</v>
      </c>
      <c r="E326" s="1" t="n">
        <v>46222</v>
      </c>
      <c r="F326" t="inlineStr">
        <is>
          <t>BLEKINGE LÄN</t>
        </is>
      </c>
      <c r="G326" t="inlineStr">
        <is>
          <t>KARLSKRONA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33350-2023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45117</v>
      </c>
      <c r="E327" s="1" t="n">
        <v>46222</v>
      </c>
      <c r="F327" t="inlineStr">
        <is>
          <t>BLEKINGE LÄN</t>
        </is>
      </c>
      <c r="G327" t="inlineStr">
        <is>
          <t>KARLSKRONA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1243-2023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44936</v>
      </c>
      <c r="E328" s="1" t="n">
        <v>46222</v>
      </c>
      <c r="F328" t="inlineStr">
        <is>
          <t>BLEKINGE LÄN</t>
        </is>
      </c>
      <c r="G328" t="inlineStr">
        <is>
          <t>KARLSKRONA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20656-2023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45055</v>
      </c>
      <c r="E329" s="1" t="n">
        <v>46222</v>
      </c>
      <c r="F329" t="inlineStr">
        <is>
          <t>BLEKINGE LÄN</t>
        </is>
      </c>
      <c r="G329" t="inlineStr">
        <is>
          <t>KARLSKRONA</t>
        </is>
      </c>
      <c r="I329" t="n">
        <v>10.6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21148-2023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45062</v>
      </c>
      <c r="E330" s="1" t="n">
        <v>46222</v>
      </c>
      <c r="F330" t="inlineStr">
        <is>
          <t>BLEKINGE LÄN</t>
        </is>
      </c>
      <c r="G330" t="inlineStr">
        <is>
          <t>KARLSKRONA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49086-2025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45937</v>
      </c>
      <c r="E331" s="1" t="n">
        <v>46222</v>
      </c>
      <c r="F331" t="inlineStr">
        <is>
          <t>BLEKINGE LÄN</t>
        </is>
      </c>
      <c r="G331" t="inlineStr">
        <is>
          <t>KARLSKRONA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49093-2025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45937</v>
      </c>
      <c r="E332" s="1" t="n">
        <v>46222</v>
      </c>
      <c r="F332" t="inlineStr">
        <is>
          <t>BLEKINGE LÄN</t>
        </is>
      </c>
      <c r="G332" t="inlineStr">
        <is>
          <t>KARLSKRONA</t>
        </is>
      </c>
      <c r="I332" t="n">
        <v>6.6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16060-2025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45749</v>
      </c>
      <c r="E333" s="1" t="n">
        <v>46222</v>
      </c>
      <c r="F333" t="inlineStr">
        <is>
          <t>BLEKINGE LÄN</t>
        </is>
      </c>
      <c r="G333" t="inlineStr">
        <is>
          <t>KARLSKRONA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36765-2025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45873</v>
      </c>
      <c r="E334" s="1" t="n">
        <v>46222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37179-2025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45875</v>
      </c>
      <c r="E335" s="1" t="n">
        <v>46222</v>
      </c>
      <c r="F335" t="inlineStr">
        <is>
          <t>BLEKINGE LÄN</t>
        </is>
      </c>
      <c r="G335" t="inlineStr">
        <is>
          <t>KARLSKRONA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37196-2025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45875</v>
      </c>
      <c r="E336" s="1" t="n">
        <v>46222</v>
      </c>
      <c r="F336" t="inlineStr">
        <is>
          <t>BLEKINGE LÄN</t>
        </is>
      </c>
      <c r="G336" t="inlineStr">
        <is>
          <t>KARLSKRONA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34952-2023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45142</v>
      </c>
      <c r="E337" s="1" t="n">
        <v>46222</v>
      </c>
      <c r="F337" t="inlineStr">
        <is>
          <t>BLEKINGE LÄN</t>
        </is>
      </c>
      <c r="G337" t="inlineStr">
        <is>
          <t>KARLSKRONA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50594-2025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46222</v>
      </c>
      <c r="F338" t="inlineStr">
        <is>
          <t>BLEKINGE LÄN</t>
        </is>
      </c>
      <c r="G338" t="inlineStr">
        <is>
          <t>KARLSKRONA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57996-2024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45631</v>
      </c>
      <c r="E339" s="1" t="n">
        <v>46222</v>
      </c>
      <c r="F339" t="inlineStr">
        <is>
          <t>BLEKINGE LÄN</t>
        </is>
      </c>
      <c r="G339" t="inlineStr">
        <is>
          <t>KARLSKRONA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50587-2025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45945</v>
      </c>
      <c r="E340" s="1" t="n">
        <v>46222</v>
      </c>
      <c r="F340" t="inlineStr">
        <is>
          <t>BLEKINGE LÄN</t>
        </is>
      </c>
      <c r="G340" t="inlineStr">
        <is>
          <t>KARLSKRONA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50603-2025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45945</v>
      </c>
      <c r="E341" s="1" t="n">
        <v>46222</v>
      </c>
      <c r="F341" t="inlineStr">
        <is>
          <t>BLEKINGE LÄN</t>
        </is>
      </c>
      <c r="G341" t="inlineStr">
        <is>
          <t>KARLSKRONA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42174-2023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45178</v>
      </c>
      <c r="E342" s="1" t="n">
        <v>46222</v>
      </c>
      <c r="F342" t="inlineStr">
        <is>
          <t>BLEKINGE LÄN</t>
        </is>
      </c>
      <c r="G342" t="inlineStr">
        <is>
          <t>KARLSKRONA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12059-2025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45728</v>
      </c>
      <c r="E343" s="1" t="n">
        <v>46222</v>
      </c>
      <c r="F343" t="inlineStr">
        <is>
          <t>BLEKINGE LÄN</t>
        </is>
      </c>
      <c r="G343" t="inlineStr">
        <is>
          <t>KARLSKRONA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9763-2022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44619</v>
      </c>
      <c r="E344" s="1" t="n">
        <v>46222</v>
      </c>
      <c r="F344" t="inlineStr">
        <is>
          <t>BLEKINGE LÄN</t>
        </is>
      </c>
      <c r="G344" t="inlineStr">
        <is>
          <t>KARLSKRONA</t>
        </is>
      </c>
      <c r="I344" t="n">
        <v>11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7557-2026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46222</v>
      </c>
      <c r="F345" t="inlineStr">
        <is>
          <t>BLEKINGE LÄN</t>
        </is>
      </c>
      <c r="G345" t="inlineStr">
        <is>
          <t>KARLSKRONA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52612-2025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45954</v>
      </c>
      <c r="E346" s="1" t="n">
        <v>46222</v>
      </c>
      <c r="F346" t="inlineStr">
        <is>
          <t>BLEKINGE LÄN</t>
        </is>
      </c>
      <c r="G346" t="inlineStr">
        <is>
          <t>KARLSKRONA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30853-2022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44747</v>
      </c>
      <c r="E347" s="1" t="n">
        <v>46222</v>
      </c>
      <c r="F347" t="inlineStr">
        <is>
          <t>BLEKINGE LÄN</t>
        </is>
      </c>
      <c r="G347" t="inlineStr">
        <is>
          <t>KARLSKRONA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55147-2021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44474</v>
      </c>
      <c r="E348" s="1" t="n">
        <v>46222</v>
      </c>
      <c r="F348" t="inlineStr">
        <is>
          <t>BLEKINGE LÄN</t>
        </is>
      </c>
      <c r="G348" t="inlineStr">
        <is>
          <t>KARLSKRONA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38342-2025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45883</v>
      </c>
      <c r="E349" s="1" t="n">
        <v>46222</v>
      </c>
      <c r="F349" t="inlineStr">
        <is>
          <t>BLEKINGE LÄN</t>
        </is>
      </c>
      <c r="G349" t="inlineStr">
        <is>
          <t>KARLSKRONA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38344-2025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45883</v>
      </c>
      <c r="E350" s="1" t="n">
        <v>46222</v>
      </c>
      <c r="F350" t="inlineStr">
        <is>
          <t>BLEKINGE LÄN</t>
        </is>
      </c>
      <c r="G350" t="inlineStr">
        <is>
          <t>KARLSKRONA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39984-2022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44820</v>
      </c>
      <c r="E351" s="1" t="n">
        <v>46222</v>
      </c>
      <c r="F351" t="inlineStr">
        <is>
          <t>BLEKINGE LÄN</t>
        </is>
      </c>
      <c r="G351" t="inlineStr">
        <is>
          <t>KARLSKRONA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53130-2025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45958</v>
      </c>
      <c r="E352" s="1" t="n">
        <v>46222</v>
      </c>
      <c r="F352" t="inlineStr">
        <is>
          <t>BLEKINGE LÄN</t>
        </is>
      </c>
      <c r="G352" t="inlineStr">
        <is>
          <t>KARLSKRONA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53135-2025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45958</v>
      </c>
      <c r="E353" s="1" t="n">
        <v>46222</v>
      </c>
      <c r="F353" t="inlineStr">
        <is>
          <t>BLEKINGE LÄN</t>
        </is>
      </c>
      <c r="G353" t="inlineStr">
        <is>
          <t>KARLSKRONA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53141-2025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45958</v>
      </c>
      <c r="E354" s="1" t="n">
        <v>46222</v>
      </c>
      <c r="F354" t="inlineStr">
        <is>
          <t>BLEKINGE LÄN</t>
        </is>
      </c>
      <c r="G354" t="inlineStr">
        <is>
          <t>KARLSKRONA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8847-2026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46066</v>
      </c>
      <c r="E355" s="1" t="n">
        <v>46222</v>
      </c>
      <c r="F355" t="inlineStr">
        <is>
          <t>BLEKINGE LÄN</t>
        </is>
      </c>
      <c r="G355" t="inlineStr">
        <is>
          <t>KARLSKRONA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52903-2025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45957</v>
      </c>
      <c r="E356" s="1" t="n">
        <v>46222</v>
      </c>
      <c r="F356" t="inlineStr">
        <is>
          <t>BLEKINGE LÄN</t>
        </is>
      </c>
      <c r="G356" t="inlineStr">
        <is>
          <t>KARLSKRONA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53149-2025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45958</v>
      </c>
      <c r="E357" s="1" t="n">
        <v>46222</v>
      </c>
      <c r="F357" t="inlineStr">
        <is>
          <t>BLEKINGE LÄN</t>
        </is>
      </c>
      <c r="G357" t="inlineStr">
        <is>
          <t>KARLSKRONA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53143-2025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45958</v>
      </c>
      <c r="E358" s="1" t="n">
        <v>46222</v>
      </c>
      <c r="F358" t="inlineStr">
        <is>
          <t>BLEKINGE LÄN</t>
        </is>
      </c>
      <c r="G358" t="inlineStr">
        <is>
          <t>KARLSKRONA</t>
        </is>
      </c>
      <c r="I358" t="n">
        <v>7.8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9029-2026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46069</v>
      </c>
      <c r="E359" s="1" t="n">
        <v>46222</v>
      </c>
      <c r="F359" t="inlineStr">
        <is>
          <t>BLEKINGE LÄN</t>
        </is>
      </c>
      <c r="G359" t="inlineStr">
        <is>
          <t>KARLSKRONA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53146-2025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45958</v>
      </c>
      <c r="E360" s="1" t="n">
        <v>46222</v>
      </c>
      <c r="F360" t="inlineStr">
        <is>
          <t>BLEKINGE LÄN</t>
        </is>
      </c>
      <c r="G360" t="inlineStr">
        <is>
          <t>KARLSKRONA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16284-2023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45028</v>
      </c>
      <c r="E361" s="1" t="n">
        <v>46222</v>
      </c>
      <c r="F361" t="inlineStr">
        <is>
          <t>BLEKINGE LÄN</t>
        </is>
      </c>
      <c r="G361" t="inlineStr">
        <is>
          <t>KARLSKRONA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35807-2023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45148</v>
      </c>
      <c r="E362" s="1" t="n">
        <v>46222</v>
      </c>
      <c r="F362" t="inlineStr">
        <is>
          <t>BLEKINGE LÄN</t>
        </is>
      </c>
      <c r="G362" t="inlineStr">
        <is>
          <t>KARLSKRONA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10735-2023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44988</v>
      </c>
      <c r="E363" s="1" t="n">
        <v>46222</v>
      </c>
      <c r="F363" t="inlineStr">
        <is>
          <t>BLEKINGE LÄN</t>
        </is>
      </c>
      <c r="G363" t="inlineStr">
        <is>
          <t>KARLSKRONA</t>
        </is>
      </c>
      <c r="I363" t="n">
        <v>3.1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44628-2022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44840</v>
      </c>
      <c r="E364" s="1" t="n">
        <v>46222</v>
      </c>
      <c r="F364" t="inlineStr">
        <is>
          <t>BLEKINGE LÄN</t>
        </is>
      </c>
      <c r="G364" t="inlineStr">
        <is>
          <t>KARLSKRONA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65639-2021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44516</v>
      </c>
      <c r="E365" s="1" t="n">
        <v>46222</v>
      </c>
      <c r="F365" t="inlineStr">
        <is>
          <t>BLEKINGE LÄN</t>
        </is>
      </c>
      <c r="G365" t="inlineStr">
        <is>
          <t>KARLSKRONA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53850-2025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45961</v>
      </c>
      <c r="E366" s="1" t="n">
        <v>46222</v>
      </c>
      <c r="F366" t="inlineStr">
        <is>
          <t>BLEKINGE LÄN</t>
        </is>
      </c>
      <c r="G366" t="inlineStr">
        <is>
          <t>KARLSKRONA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44120-2023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45188</v>
      </c>
      <c r="E367" s="1" t="n">
        <v>46222</v>
      </c>
      <c r="F367" t="inlineStr">
        <is>
          <t>BLEKINGE LÄN</t>
        </is>
      </c>
      <c r="G367" t="inlineStr">
        <is>
          <t>KARLSKRONA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53864-2025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45961</v>
      </c>
      <c r="E368" s="1" t="n">
        <v>46222</v>
      </c>
      <c r="F368" t="inlineStr">
        <is>
          <t>BLEKINGE LÄN</t>
        </is>
      </c>
      <c r="G368" t="inlineStr">
        <is>
          <t>KARLSKRONA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53858-2025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45961</v>
      </c>
      <c r="E369" s="1" t="n">
        <v>46222</v>
      </c>
      <c r="F369" t="inlineStr">
        <is>
          <t>BLEKINGE LÄN</t>
        </is>
      </c>
      <c r="G369" t="inlineStr">
        <is>
          <t>KARLSKRONA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16532-2023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45027</v>
      </c>
      <c r="E370" s="1" t="n">
        <v>46222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30954-2023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45113</v>
      </c>
      <c r="E371" s="1" t="n">
        <v>46222</v>
      </c>
      <c r="F371" t="inlineStr">
        <is>
          <t>BLEKINGE LÄN</t>
        </is>
      </c>
      <c r="G371" t="inlineStr">
        <is>
          <t>KARLSKRONA</t>
        </is>
      </c>
      <c r="I371" t="n">
        <v>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47992-2023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45204</v>
      </c>
      <c r="E372" s="1" t="n">
        <v>46222</v>
      </c>
      <c r="F372" t="inlineStr">
        <is>
          <t>BLEKINGE LÄN</t>
        </is>
      </c>
      <c r="G372" t="inlineStr">
        <is>
          <t>KARLSKRONA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49317-2025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46222</v>
      </c>
      <c r="F373" t="inlineStr">
        <is>
          <t>BLEKINGE LÄN</t>
        </is>
      </c>
      <c r="G373" t="inlineStr">
        <is>
          <t>KARLSKRONA</t>
        </is>
      </c>
      <c r="I373" t="n">
        <v>11.4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697-2023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44930</v>
      </c>
      <c r="E374" s="1" t="n">
        <v>46222</v>
      </c>
      <c r="F374" t="inlineStr">
        <is>
          <t>BLEKINGE LÄN</t>
        </is>
      </c>
      <c r="G374" t="inlineStr">
        <is>
          <t>KARLSKRONA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28615-2022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44748</v>
      </c>
      <c r="E375" s="1" t="n">
        <v>46222</v>
      </c>
      <c r="F375" t="inlineStr">
        <is>
          <t>BLEKINGE LÄN</t>
        </is>
      </c>
      <c r="G375" t="inlineStr">
        <is>
          <t>KARLSKRONA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44471-2021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44435</v>
      </c>
      <c r="E376" s="1" t="n">
        <v>46222</v>
      </c>
      <c r="F376" t="inlineStr">
        <is>
          <t>BLEKINGE LÄN</t>
        </is>
      </c>
      <c r="G376" t="inlineStr">
        <is>
          <t>KARLSKRONA</t>
        </is>
      </c>
      <c r="I376" t="n">
        <v>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14618-2023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45013</v>
      </c>
      <c r="E377" s="1" t="n">
        <v>46222</v>
      </c>
      <c r="F377" t="inlineStr">
        <is>
          <t>BLEKINGE LÄN</t>
        </is>
      </c>
      <c r="G377" t="inlineStr">
        <is>
          <t>KARLSKRONA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49941-2023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45215</v>
      </c>
      <c r="E378" s="1" t="n">
        <v>46222</v>
      </c>
      <c r="F378" t="inlineStr">
        <is>
          <t>BLEKINGE LÄN</t>
        </is>
      </c>
      <c r="G378" t="inlineStr">
        <is>
          <t>KARLSKRONA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55834-2025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45972</v>
      </c>
      <c r="E379" s="1" t="n">
        <v>46222</v>
      </c>
      <c r="F379" t="inlineStr">
        <is>
          <t>BLEKINGE LÄN</t>
        </is>
      </c>
      <c r="G379" t="inlineStr">
        <is>
          <t>KARLSKRONA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56600-2023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45238</v>
      </c>
      <c r="E380" s="1" t="n">
        <v>46222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56201-2022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44890</v>
      </c>
      <c r="E381" s="1" t="n">
        <v>46222</v>
      </c>
      <c r="F381" t="inlineStr">
        <is>
          <t>BLEKINGE LÄN</t>
        </is>
      </c>
      <c r="G381" t="inlineStr">
        <is>
          <t>KARLSKRONA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14938-2025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45743</v>
      </c>
      <c r="E382" s="1" t="n">
        <v>46222</v>
      </c>
      <c r="F382" t="inlineStr">
        <is>
          <t>BLEKINGE LÄN</t>
        </is>
      </c>
      <c r="G382" t="inlineStr">
        <is>
          <t>KARLSKRONA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68972-2021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44530</v>
      </c>
      <c r="E383" s="1" t="n">
        <v>46222</v>
      </c>
      <c r="F383" t="inlineStr">
        <is>
          <t>BLEKINGE LÄN</t>
        </is>
      </c>
      <c r="G383" t="inlineStr">
        <is>
          <t>KARLSKRONA</t>
        </is>
      </c>
      <c r="I383" t="n">
        <v>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6620-2026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46056</v>
      </c>
      <c r="E384" s="1" t="n">
        <v>46222</v>
      </c>
      <c r="F384" t="inlineStr">
        <is>
          <t>BLEKINGE LÄN</t>
        </is>
      </c>
      <c r="G384" t="inlineStr">
        <is>
          <t>KARLSKRONA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56756-2025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46222</v>
      </c>
      <c r="F385" t="inlineStr">
        <is>
          <t>BLEKINGE LÄN</t>
        </is>
      </c>
      <c r="G385" t="inlineStr">
        <is>
          <t>KARLSKRONA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24328-2023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45080</v>
      </c>
      <c r="E386" s="1" t="n">
        <v>46222</v>
      </c>
      <c r="F386" t="inlineStr">
        <is>
          <t>BLEKINGE LÄN</t>
        </is>
      </c>
      <c r="G386" t="inlineStr">
        <is>
          <t>KARLSKRONA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18719-2023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45043</v>
      </c>
      <c r="E387" s="1" t="n">
        <v>46222</v>
      </c>
      <c r="F387" t="inlineStr">
        <is>
          <t>BLEKINGE LÄN</t>
        </is>
      </c>
      <c r="G387" t="inlineStr">
        <is>
          <t>KARLSKRONA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23099-2023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45075</v>
      </c>
      <c r="E388" s="1" t="n">
        <v>46222</v>
      </c>
      <c r="F388" t="inlineStr">
        <is>
          <t>BLEKINGE LÄN</t>
        </is>
      </c>
      <c r="G388" t="inlineStr">
        <is>
          <t>KARLSKRONA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23679-2023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45077</v>
      </c>
      <c r="E389" s="1" t="n">
        <v>46222</v>
      </c>
      <c r="F389" t="inlineStr">
        <is>
          <t>BLEKINGE LÄN</t>
        </is>
      </c>
      <c r="G389" t="inlineStr">
        <is>
          <t>KARLSKRONA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36576-2024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45537</v>
      </c>
      <c r="E390" s="1" t="n">
        <v>46222</v>
      </c>
      <c r="F390" t="inlineStr">
        <is>
          <t>BLEKINGE LÄN</t>
        </is>
      </c>
      <c r="G390" t="inlineStr">
        <is>
          <t>KARLSKRONA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57710-2025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46222</v>
      </c>
      <c r="F391" t="inlineStr">
        <is>
          <t>BLEKINGE LÄN</t>
        </is>
      </c>
      <c r="G391" t="inlineStr">
        <is>
          <t>KARLSKRONA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39236-2023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45166</v>
      </c>
      <c r="E392" s="1" t="n">
        <v>46222</v>
      </c>
      <c r="F392" t="inlineStr">
        <is>
          <t>BLEKINGE LÄN</t>
        </is>
      </c>
      <c r="G392" t="inlineStr">
        <is>
          <t>KARLSKRONA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14448-2023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45012</v>
      </c>
      <c r="E393" s="1" t="n">
        <v>46222</v>
      </c>
      <c r="F393" t="inlineStr">
        <is>
          <t>BLEKINGE LÄN</t>
        </is>
      </c>
      <c r="G393" t="inlineStr">
        <is>
          <t>KARLSKRONA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12181-2022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44636</v>
      </c>
      <c r="E394" s="1" t="n">
        <v>46222</v>
      </c>
      <c r="F394" t="inlineStr">
        <is>
          <t>BLEKINGE LÄN</t>
        </is>
      </c>
      <c r="G394" t="inlineStr">
        <is>
          <t>KARLSKRONA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39992-2024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45553</v>
      </c>
      <c r="E395" s="1" t="n">
        <v>46222</v>
      </c>
      <c r="F395" t="inlineStr">
        <is>
          <t>BLEKINGE LÄN</t>
        </is>
      </c>
      <c r="G395" t="inlineStr">
        <is>
          <t>KARLSKRONA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35724-2024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45532</v>
      </c>
      <c r="E396" s="1" t="n">
        <v>46222</v>
      </c>
      <c r="F396" t="inlineStr">
        <is>
          <t>BLEKINGE LÄN</t>
        </is>
      </c>
      <c r="G396" t="inlineStr">
        <is>
          <t>KARLSKRONA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12230-2026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46222</v>
      </c>
      <c r="F397" t="inlineStr">
        <is>
          <t>BLEKINGE LÄN</t>
        </is>
      </c>
      <c r="G397" t="inlineStr">
        <is>
          <t>KARLSKRONA</t>
        </is>
      </c>
      <c r="H397" t="inlineStr">
        <is>
          <t>Kommuner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13395-2025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45735</v>
      </c>
      <c r="E398" s="1" t="n">
        <v>46222</v>
      </c>
      <c r="F398" t="inlineStr">
        <is>
          <t>BLEKINGE LÄN</t>
        </is>
      </c>
      <c r="G398" t="inlineStr">
        <is>
          <t>KARLSKRONA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30956-2023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45113</v>
      </c>
      <c r="E399" s="1" t="n">
        <v>46222</v>
      </c>
      <c r="F399" t="inlineStr">
        <is>
          <t>BLEKINGE LÄN</t>
        </is>
      </c>
      <c r="G399" t="inlineStr">
        <is>
          <t>KARLSKRONA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61266-2023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45264</v>
      </c>
      <c r="E400" s="1" t="n">
        <v>46222</v>
      </c>
      <c r="F400" t="inlineStr">
        <is>
          <t>BLEKINGE LÄN</t>
        </is>
      </c>
      <c r="G400" t="inlineStr">
        <is>
          <t>KARLSKRONA</t>
        </is>
      </c>
      <c r="I400" t="n">
        <v>13.2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34319-2025</t>
        </is>
      </c>
      <c r="B401" t="inlineStr">
        <is>
          <t>avverkningsanmälan</t>
        </is>
      </c>
      <c r="C401" t="inlineStr">
        <is>
          <t>Avverkning för att bevara och utveckla /försöksver</t>
        </is>
      </c>
      <c r="D401" s="1" t="n">
        <v>45846</v>
      </c>
      <c r="E401" s="1" t="n">
        <v>46222</v>
      </c>
      <c r="F401" t="inlineStr">
        <is>
          <t>BLEKINGE LÄN</t>
        </is>
      </c>
      <c r="G401" t="inlineStr">
        <is>
          <t>KARLSKRONA</t>
        </is>
      </c>
      <c r="H401" t="inlineStr">
        <is>
          <t>Kommuner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34323-2025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45846</v>
      </c>
      <c r="E402" s="1" t="n">
        <v>46222</v>
      </c>
      <c r="F402" t="inlineStr">
        <is>
          <t>BLEKINGE LÄN</t>
        </is>
      </c>
      <c r="G402" t="inlineStr">
        <is>
          <t>KARLSKRONA</t>
        </is>
      </c>
      <c r="H402" t="inlineStr">
        <is>
          <t>Kommuner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51270-2021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44461</v>
      </c>
      <c r="E403" s="1" t="n">
        <v>46222</v>
      </c>
      <c r="F403" t="inlineStr">
        <is>
          <t>BLEKINGE LÄN</t>
        </is>
      </c>
      <c r="G403" t="inlineStr">
        <is>
          <t>KARLSKRONA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49034-2022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44860</v>
      </c>
      <c r="E404" s="1" t="n">
        <v>46222</v>
      </c>
      <c r="F404" t="inlineStr">
        <is>
          <t>BLEKINGE LÄN</t>
        </is>
      </c>
      <c r="G404" t="inlineStr">
        <is>
          <t>KARLSKRONA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54637-2023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45234</v>
      </c>
      <c r="E405" s="1" t="n">
        <v>46222</v>
      </c>
      <c r="F405" t="inlineStr">
        <is>
          <t>BLEKINGE LÄN</t>
        </is>
      </c>
      <c r="G405" t="inlineStr">
        <is>
          <t>KARLSKRONA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24951-2023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45085</v>
      </c>
      <c r="E406" s="1" t="n">
        <v>46222</v>
      </c>
      <c r="F406" t="inlineStr">
        <is>
          <t>BLEKINGE LÄN</t>
        </is>
      </c>
      <c r="G406" t="inlineStr">
        <is>
          <t>KARLSKRONA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36811-2024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45538</v>
      </c>
      <c r="E407" s="1" t="n">
        <v>46222</v>
      </c>
      <c r="F407" t="inlineStr">
        <is>
          <t>BLEKINGE LÄN</t>
        </is>
      </c>
      <c r="G407" t="inlineStr">
        <is>
          <t>KARLSKRONA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36843-2024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45538</v>
      </c>
      <c r="E408" s="1" t="n">
        <v>46222</v>
      </c>
      <c r="F408" t="inlineStr">
        <is>
          <t>BLEKINGE LÄN</t>
        </is>
      </c>
      <c r="G408" t="inlineStr">
        <is>
          <t>KARLSKRONA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12852-2026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46092</v>
      </c>
      <c r="E409" s="1" t="n">
        <v>46222</v>
      </c>
      <c r="F409" t="inlineStr">
        <is>
          <t>BLEKINGE LÄN</t>
        </is>
      </c>
      <c r="G409" t="inlineStr">
        <is>
          <t>KARLSKRONA</t>
        </is>
      </c>
      <c r="H409" t="inlineStr">
        <is>
          <t>Kommuner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13139-2026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46093</v>
      </c>
      <c r="E410" s="1" t="n">
        <v>46222</v>
      </c>
      <c r="F410" t="inlineStr">
        <is>
          <t>BLEKINGE LÄN</t>
        </is>
      </c>
      <c r="G410" t="inlineStr">
        <is>
          <t>KARLSKRONA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26277-2023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45091</v>
      </c>
      <c r="E411" s="1" t="n">
        <v>46222</v>
      </c>
      <c r="F411" t="inlineStr">
        <is>
          <t>BLEKINGE LÄN</t>
        </is>
      </c>
      <c r="G411" t="inlineStr">
        <is>
          <t>KARLSKRONA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14177-2024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45393</v>
      </c>
      <c r="E412" s="1" t="n">
        <v>46222</v>
      </c>
      <c r="F412" t="inlineStr">
        <is>
          <t>BLEKINGE LÄN</t>
        </is>
      </c>
      <c r="G412" t="inlineStr">
        <is>
          <t>KARLSKRONA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13644-2026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46222</v>
      </c>
      <c r="F413" t="inlineStr">
        <is>
          <t>BLEKINGE LÄN</t>
        </is>
      </c>
      <c r="G413" t="inlineStr">
        <is>
          <t>KARLSKRONA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40088-2024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45554</v>
      </c>
      <c r="E414" s="1" t="n">
        <v>46222</v>
      </c>
      <c r="F414" t="inlineStr">
        <is>
          <t>BLEKINGE LÄN</t>
        </is>
      </c>
      <c r="G414" t="inlineStr">
        <is>
          <t>KARLSKRONA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37487-2024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46222</v>
      </c>
      <c r="F415" t="inlineStr">
        <is>
          <t>BLEKINGE LÄN</t>
        </is>
      </c>
      <c r="G415" t="inlineStr">
        <is>
          <t>KARLSKRONA</t>
        </is>
      </c>
      <c r="I415" t="n">
        <v>4.3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15360-2024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45400</v>
      </c>
      <c r="E416" s="1" t="n">
        <v>46222</v>
      </c>
      <c r="F416" t="inlineStr">
        <is>
          <t>BLEKINGE LÄN</t>
        </is>
      </c>
      <c r="G416" t="inlineStr">
        <is>
          <t>KARLSKRONA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16200-2024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45406</v>
      </c>
      <c r="E417" s="1" t="n">
        <v>46222</v>
      </c>
      <c r="F417" t="inlineStr">
        <is>
          <t>BLEKINGE LÄN</t>
        </is>
      </c>
      <c r="G417" t="inlineStr">
        <is>
          <t>KARLSKRONA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61191-2025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46222</v>
      </c>
      <c r="F418" t="inlineStr">
        <is>
          <t>BLEKINGE LÄN</t>
        </is>
      </c>
      <c r="G418" t="inlineStr">
        <is>
          <t>KARLSKRONA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14559-2023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45013</v>
      </c>
      <c r="E419" s="1" t="n">
        <v>46222</v>
      </c>
      <c r="F419" t="inlineStr">
        <is>
          <t>BLEKINGE LÄN</t>
        </is>
      </c>
      <c r="G419" t="inlineStr">
        <is>
          <t>KARLSKRONA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8094-2022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44609</v>
      </c>
      <c r="E420" s="1" t="n">
        <v>46222</v>
      </c>
      <c r="F420" t="inlineStr">
        <is>
          <t>BLEKINGE LÄN</t>
        </is>
      </c>
      <c r="G420" t="inlineStr">
        <is>
          <t>KARLSKRONA</t>
        </is>
      </c>
      <c r="H420" t="inlineStr">
        <is>
          <t>Kommuner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26490-2023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45092</v>
      </c>
      <c r="E421" s="1" t="n">
        <v>46222</v>
      </c>
      <c r="F421" t="inlineStr">
        <is>
          <t>BLEKINGE LÄN</t>
        </is>
      </c>
      <c r="G421" t="inlineStr">
        <is>
          <t>KARLSKRONA</t>
        </is>
      </c>
      <c r="I421" t="n">
        <v>10.8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46774-2022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44847</v>
      </c>
      <c r="E422" s="1" t="n">
        <v>46222</v>
      </c>
      <c r="F422" t="inlineStr">
        <is>
          <t>BLEKINGE LÄN</t>
        </is>
      </c>
      <c r="G422" t="inlineStr">
        <is>
          <t>KARLSKRONA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26605-2023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45092</v>
      </c>
      <c r="E423" s="1" t="n">
        <v>46222</v>
      </c>
      <c r="F423" t="inlineStr">
        <is>
          <t>BLEKINGE LÄN</t>
        </is>
      </c>
      <c r="G423" t="inlineStr">
        <is>
          <t>KARLSKRONA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29121-2023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45105</v>
      </c>
      <c r="E424" s="1" t="n">
        <v>46222</v>
      </c>
      <c r="F424" t="inlineStr">
        <is>
          <t>BLEKINGE LÄN</t>
        </is>
      </c>
      <c r="G424" t="inlineStr">
        <is>
          <t>KARLSKRONA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62590-2025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46007</v>
      </c>
      <c r="E425" s="1" t="n">
        <v>46222</v>
      </c>
      <c r="F425" t="inlineStr">
        <is>
          <t>BLEKINGE LÄN</t>
        </is>
      </c>
      <c r="G425" t="inlineStr">
        <is>
          <t>KARLSKRONA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62594-2025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46007</v>
      </c>
      <c r="E426" s="1" t="n">
        <v>46222</v>
      </c>
      <c r="F426" t="inlineStr">
        <is>
          <t>BLEKINGE LÄN</t>
        </is>
      </c>
      <c r="G426" t="inlineStr">
        <is>
          <t>KARLSKRONA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29361-2023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45106</v>
      </c>
      <c r="E427" s="1" t="n">
        <v>46222</v>
      </c>
      <c r="F427" t="inlineStr">
        <is>
          <t>BLEKINGE LÄN</t>
        </is>
      </c>
      <c r="G427" t="inlineStr">
        <is>
          <t>KARLSKRONA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26917-2023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45093</v>
      </c>
      <c r="E428" s="1" t="n">
        <v>46222</v>
      </c>
      <c r="F428" t="inlineStr">
        <is>
          <t>BLEKINGE LÄN</t>
        </is>
      </c>
      <c r="G428" t="inlineStr">
        <is>
          <t>KARLSKRONA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29969-2023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45108</v>
      </c>
      <c r="E429" s="1" t="n">
        <v>46222</v>
      </c>
      <c r="F429" t="inlineStr">
        <is>
          <t>BLEKINGE LÄN</t>
        </is>
      </c>
      <c r="G429" t="inlineStr">
        <is>
          <t>KARLSKRONA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14648-2023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45013</v>
      </c>
      <c r="E430" s="1" t="n">
        <v>46222</v>
      </c>
      <c r="F430" t="inlineStr">
        <is>
          <t>BLEKINGE LÄN</t>
        </is>
      </c>
      <c r="G430" t="inlineStr">
        <is>
          <t>KARLSKRONA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19604-2023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45050</v>
      </c>
      <c r="E431" s="1" t="n">
        <v>46222</v>
      </c>
      <c r="F431" t="inlineStr">
        <is>
          <t>BLEKINGE LÄN</t>
        </is>
      </c>
      <c r="G431" t="inlineStr">
        <is>
          <t>KARLSKRONA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57328-2023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45245</v>
      </c>
      <c r="E432" s="1" t="n">
        <v>46222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72478-2021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44545</v>
      </c>
      <c r="E433" s="1" t="n">
        <v>46222</v>
      </c>
      <c r="F433" t="inlineStr">
        <is>
          <t>BLEKINGE LÄN</t>
        </is>
      </c>
      <c r="G433" t="inlineStr">
        <is>
          <t>KARLSKRONA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46027</v>
      </c>
      <c r="E434" s="1" t="n">
        <v>46222</v>
      </c>
      <c r="F434" t="inlineStr">
        <is>
          <t>BLEKINGE LÄN</t>
        </is>
      </c>
      <c r="G434" t="inlineStr">
        <is>
          <t>KARLSKRONA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7129-2024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45344</v>
      </c>
      <c r="E435" s="1" t="n">
        <v>46222</v>
      </c>
      <c r="F435" t="inlineStr">
        <is>
          <t>BLEKINGE LÄN</t>
        </is>
      </c>
      <c r="G435" t="inlineStr">
        <is>
          <t>KARLSKRONA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73356-2021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44551</v>
      </c>
      <c r="E436" s="1" t="n">
        <v>46222</v>
      </c>
      <c r="F436" t="inlineStr">
        <is>
          <t>BLEKINGE LÄN</t>
        </is>
      </c>
      <c r="G436" t="inlineStr">
        <is>
          <t>KARLSKRONA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29394-2023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45106</v>
      </c>
      <c r="E437" s="1" t="n">
        <v>46222</v>
      </c>
      <c r="F437" t="inlineStr">
        <is>
          <t>BLEKINGE LÄN</t>
        </is>
      </c>
      <c r="G437" t="inlineStr">
        <is>
          <t>KARLSKRONA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14192-2024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45393</v>
      </c>
      <c r="E438" s="1" t="n">
        <v>46222</v>
      </c>
      <c r="F438" t="inlineStr">
        <is>
          <t>BLEKINGE LÄN</t>
        </is>
      </c>
      <c r="G438" t="inlineStr">
        <is>
          <t>KARLSKRONA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1231-2026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46222</v>
      </c>
      <c r="F439" t="inlineStr">
        <is>
          <t>BLEKINGE LÄN</t>
        </is>
      </c>
      <c r="G439" t="inlineStr">
        <is>
          <t>KARLSKRONA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13377-2024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45387</v>
      </c>
      <c r="E440" s="1" t="n">
        <v>46222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39360-2024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45551</v>
      </c>
      <c r="E441" s="1" t="n">
        <v>46222</v>
      </c>
      <c r="F441" t="inlineStr">
        <is>
          <t>BLEKINGE LÄN</t>
        </is>
      </c>
      <c r="G441" t="inlineStr">
        <is>
          <t>KARLSKRONA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15468-2026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46106</v>
      </c>
      <c r="E442" s="1" t="n">
        <v>46222</v>
      </c>
      <c r="F442" t="inlineStr">
        <is>
          <t>BLEKINGE LÄN</t>
        </is>
      </c>
      <c r="G442" t="inlineStr">
        <is>
          <t>KARLSKRONA</t>
        </is>
      </c>
      <c r="H442" t="inlineStr">
        <is>
          <t>Kommuner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29911-2023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45107</v>
      </c>
      <c r="E443" s="1" t="n">
        <v>46222</v>
      </c>
      <c r="F443" t="inlineStr">
        <is>
          <t>BLEKINGE LÄN</t>
        </is>
      </c>
      <c r="G443" t="inlineStr">
        <is>
          <t>KARLSKRONA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29914-2023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45107</v>
      </c>
      <c r="E444" s="1" t="n">
        <v>46222</v>
      </c>
      <c r="F444" t="inlineStr">
        <is>
          <t>BLEKINGE LÄN</t>
        </is>
      </c>
      <c r="G444" t="inlineStr">
        <is>
          <t>KARLSKRONA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26356-2024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45469</v>
      </c>
      <c r="E445" s="1" t="n">
        <v>46222</v>
      </c>
      <c r="F445" t="inlineStr">
        <is>
          <t>BLEKINGE LÄN</t>
        </is>
      </c>
      <c r="G445" t="inlineStr">
        <is>
          <t>KARLSKRONA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10998-2022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44628</v>
      </c>
      <c r="E446" s="1" t="n">
        <v>46222</v>
      </c>
      <c r="F446" t="inlineStr">
        <is>
          <t>BLEKINGE LÄN</t>
        </is>
      </c>
      <c r="G446" t="inlineStr">
        <is>
          <t>KARLSKRONA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26796-2023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45093</v>
      </c>
      <c r="E447" s="1" t="n">
        <v>46222</v>
      </c>
      <c r="F447" t="inlineStr">
        <is>
          <t>BLEKINGE LÄN</t>
        </is>
      </c>
      <c r="G447" t="inlineStr">
        <is>
          <t>KARLSKRONA</t>
        </is>
      </c>
      <c r="I447" t="n">
        <v>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38185-2023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45161</v>
      </c>
      <c r="E448" s="1" t="n">
        <v>46222</v>
      </c>
      <c r="F448" t="inlineStr">
        <is>
          <t>BLEKINGE LÄN</t>
        </is>
      </c>
      <c r="G448" t="inlineStr">
        <is>
          <t>KARLSKRONA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29785-2023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45107</v>
      </c>
      <c r="E449" s="1" t="n">
        <v>46222</v>
      </c>
      <c r="F449" t="inlineStr">
        <is>
          <t>BLEKINGE LÄN</t>
        </is>
      </c>
      <c r="G449" t="inlineStr">
        <is>
          <t>KARLSKRONA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13160-2023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45002</v>
      </c>
      <c r="E450" s="1" t="n">
        <v>46222</v>
      </c>
      <c r="F450" t="inlineStr">
        <is>
          <t>BLEKINGE LÄN</t>
        </is>
      </c>
      <c r="G450" t="inlineStr">
        <is>
          <t>KARLSKRONA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16001-2026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46108</v>
      </c>
      <c r="E451" s="1" t="n">
        <v>46222</v>
      </c>
      <c r="F451" t="inlineStr">
        <is>
          <t>BLEKINGE LÄN</t>
        </is>
      </c>
      <c r="G451" t="inlineStr">
        <is>
          <t>KARLSKRONA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16382-2026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46111</v>
      </c>
      <c r="E452" s="1" t="n">
        <v>46222</v>
      </c>
      <c r="F452" t="inlineStr">
        <is>
          <t>BLEKINGE LÄN</t>
        </is>
      </c>
      <c r="G452" t="inlineStr">
        <is>
          <t>KARLSKRONA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16385-2026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46111</v>
      </c>
      <c r="E453" s="1" t="n">
        <v>46222</v>
      </c>
      <c r="F453" t="inlineStr">
        <is>
          <t>BLEKINGE LÄN</t>
        </is>
      </c>
      <c r="G453" t="inlineStr">
        <is>
          <t>KARLSKRONA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33854-2023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45133</v>
      </c>
      <c r="E454" s="1" t="n">
        <v>46222</v>
      </c>
      <c r="F454" t="inlineStr">
        <is>
          <t>BLEKINGE LÄN</t>
        </is>
      </c>
      <c r="G454" t="inlineStr">
        <is>
          <t>KARLSKRONA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45483-2024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45577</v>
      </c>
      <c r="E455" s="1" t="n">
        <v>46222</v>
      </c>
      <c r="F455" t="inlineStr">
        <is>
          <t>BLEKINGE LÄN</t>
        </is>
      </c>
      <c r="G455" t="inlineStr">
        <is>
          <t>KARLSKRONA</t>
        </is>
      </c>
      <c r="I455" t="n">
        <v>8.4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16594-2026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46112</v>
      </c>
      <c r="E456" s="1" t="n">
        <v>46222</v>
      </c>
      <c r="F456" t="inlineStr">
        <is>
          <t>BLEKINGE LÄN</t>
        </is>
      </c>
      <c r="G456" t="inlineStr">
        <is>
          <t>KARLSKRONA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53326-2022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44879</v>
      </c>
      <c r="E457" s="1" t="n">
        <v>46222</v>
      </c>
      <c r="F457" t="inlineStr">
        <is>
          <t>BLEKINGE LÄN</t>
        </is>
      </c>
      <c r="G457" t="inlineStr">
        <is>
          <t>KARLSKRONA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15460-2023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45020</v>
      </c>
      <c r="E458" s="1" t="n">
        <v>46222</v>
      </c>
      <c r="F458" t="inlineStr">
        <is>
          <t>BLEKINGE LÄN</t>
        </is>
      </c>
      <c r="G458" t="inlineStr">
        <is>
          <t>KARLSKRONA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16699-2026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46222</v>
      </c>
      <c r="F459" t="inlineStr">
        <is>
          <t>BLEKINGE LÄN</t>
        </is>
      </c>
      <c r="G459" t="inlineStr">
        <is>
          <t>KARLSKRONA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16701-2026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46113</v>
      </c>
      <c r="E460" s="1" t="n">
        <v>46222</v>
      </c>
      <c r="F460" t="inlineStr">
        <is>
          <t>BLEKINGE LÄN</t>
        </is>
      </c>
      <c r="G460" t="inlineStr">
        <is>
          <t>KARLSKRONA</t>
        </is>
      </c>
      <c r="I460" t="n">
        <v>1.8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16702-2026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46113</v>
      </c>
      <c r="E461" s="1" t="n">
        <v>46222</v>
      </c>
      <c r="F461" t="inlineStr">
        <is>
          <t>BLEKINGE LÄN</t>
        </is>
      </c>
      <c r="G461" t="inlineStr">
        <is>
          <t>KARLSKRONA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16730-2026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46113</v>
      </c>
      <c r="E462" s="1" t="n">
        <v>46222</v>
      </c>
      <c r="F462" t="inlineStr">
        <is>
          <t>BLEKINGE LÄN</t>
        </is>
      </c>
      <c r="G462" t="inlineStr">
        <is>
          <t>KARLSKRONA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16588-2026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46222</v>
      </c>
      <c r="F463" t="inlineStr">
        <is>
          <t>BLEKINGE LÄN</t>
        </is>
      </c>
      <c r="G463" t="inlineStr">
        <is>
          <t>KARLSKRONA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16753-2026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46113</v>
      </c>
      <c r="E464" s="1" t="n">
        <v>46222</v>
      </c>
      <c r="F464" t="inlineStr">
        <is>
          <t>BLEKINGE LÄN</t>
        </is>
      </c>
      <c r="G464" t="inlineStr">
        <is>
          <t>KARLSKRONA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16469-2026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46112</v>
      </c>
      <c r="E465" s="1" t="n">
        <v>46222</v>
      </c>
      <c r="F465" t="inlineStr">
        <is>
          <t>BLEKINGE LÄN</t>
        </is>
      </c>
      <c r="G465" t="inlineStr">
        <is>
          <t>KARLSKRONA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36730-2024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45537</v>
      </c>
      <c r="E466" s="1" t="n">
        <v>46222</v>
      </c>
      <c r="F466" t="inlineStr">
        <is>
          <t>BLEKINGE LÄN</t>
        </is>
      </c>
      <c r="G466" t="inlineStr">
        <is>
          <t>KARLSKRONA</t>
        </is>
      </c>
      <c r="I466" t="n">
        <v>5.2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16720-2026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46222</v>
      </c>
      <c r="F467" t="inlineStr">
        <is>
          <t>BLEKINGE LÄN</t>
        </is>
      </c>
      <c r="G467" t="inlineStr">
        <is>
          <t>KARLSKRONA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16745-2026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46113</v>
      </c>
      <c r="E468" s="1" t="n">
        <v>46222</v>
      </c>
      <c r="F468" t="inlineStr">
        <is>
          <t>BLEKINGE LÄN</t>
        </is>
      </c>
      <c r="G468" t="inlineStr">
        <is>
          <t>KARLSKRONA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16747-2026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46113</v>
      </c>
      <c r="E469" s="1" t="n">
        <v>46222</v>
      </c>
      <c r="F469" t="inlineStr">
        <is>
          <t>BLEKINGE LÄN</t>
        </is>
      </c>
      <c r="G469" t="inlineStr">
        <is>
          <t>KARLSKRONA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37430-2023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45156</v>
      </c>
      <c r="E470" s="1" t="n">
        <v>46222</v>
      </c>
      <c r="F470" t="inlineStr">
        <is>
          <t>BLEKINGE LÄN</t>
        </is>
      </c>
      <c r="G470" t="inlineStr">
        <is>
          <t>KARLSKRONA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14496-2024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45394</v>
      </c>
      <c r="E471" s="1" t="n">
        <v>46222</v>
      </c>
      <c r="F471" t="inlineStr">
        <is>
          <t>BLEKINGE LÄN</t>
        </is>
      </c>
      <c r="G471" t="inlineStr">
        <is>
          <t>KARLSKRONA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35643-2024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46222</v>
      </c>
      <c r="F472" t="inlineStr">
        <is>
          <t>BLEKINGE LÄN</t>
        </is>
      </c>
      <c r="G472" t="inlineStr">
        <is>
          <t>KARLSKRONA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17273-2023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45035</v>
      </c>
      <c r="E473" s="1" t="n">
        <v>46222</v>
      </c>
      <c r="F473" t="inlineStr">
        <is>
          <t>BLEKINGE LÄN</t>
        </is>
      </c>
      <c r="G473" t="inlineStr">
        <is>
          <t>KARLSKRONA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17275-2023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45035</v>
      </c>
      <c r="E474" s="1" t="n">
        <v>46222</v>
      </c>
      <c r="F474" t="inlineStr">
        <is>
          <t>BLEKINGE LÄN</t>
        </is>
      </c>
      <c r="G474" t="inlineStr">
        <is>
          <t>KARLSKRONA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9384-2023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44981</v>
      </c>
      <c r="E475" s="1" t="n">
        <v>46222</v>
      </c>
      <c r="F475" t="inlineStr">
        <is>
          <t>BLEKINGE LÄN</t>
        </is>
      </c>
      <c r="G475" t="inlineStr">
        <is>
          <t>KARLSKRONA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14853-2023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45014</v>
      </c>
      <c r="E476" s="1" t="n">
        <v>46222</v>
      </c>
      <c r="F476" t="inlineStr">
        <is>
          <t>BLEKINGE LÄN</t>
        </is>
      </c>
      <c r="G476" t="inlineStr">
        <is>
          <t>KARLSKRONA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34133-2024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45524</v>
      </c>
      <c r="E477" s="1" t="n">
        <v>46222</v>
      </c>
      <c r="F477" t="inlineStr">
        <is>
          <t>BLEKINGE LÄN</t>
        </is>
      </c>
      <c r="G477" t="inlineStr">
        <is>
          <t>KARLSKRONA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24668-2023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45084</v>
      </c>
      <c r="E478" s="1" t="n">
        <v>46222</v>
      </c>
      <c r="F478" t="inlineStr">
        <is>
          <t>BLEKINGE LÄN</t>
        </is>
      </c>
      <c r="G478" t="inlineStr">
        <is>
          <t>KARLSKRONA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29367-2023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45106</v>
      </c>
      <c r="E479" s="1" t="n">
        <v>46222</v>
      </c>
      <c r="F479" t="inlineStr">
        <is>
          <t>BLEKINGE LÄN</t>
        </is>
      </c>
      <c r="G479" t="inlineStr">
        <is>
          <t>KARLSKRONA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44407-2024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45573</v>
      </c>
      <c r="E480" s="1" t="n">
        <v>46222</v>
      </c>
      <c r="F480" t="inlineStr">
        <is>
          <t>BLEKINGE LÄN</t>
        </is>
      </c>
      <c r="G480" t="inlineStr">
        <is>
          <t>KARLSKRONA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33234-2023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45127</v>
      </c>
      <c r="E481" s="1" t="n">
        <v>46222</v>
      </c>
      <c r="F481" t="inlineStr">
        <is>
          <t>BLEKINGE LÄN</t>
        </is>
      </c>
      <c r="G481" t="inlineStr">
        <is>
          <t>KARLSKRONA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17552-2024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45415</v>
      </c>
      <c r="E482" s="1" t="n">
        <v>46222</v>
      </c>
      <c r="F482" t="inlineStr">
        <is>
          <t>BLEKINGE LÄN</t>
        </is>
      </c>
      <c r="G482" t="inlineStr">
        <is>
          <t>KARLSKRONA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64820-2021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44512</v>
      </c>
      <c r="E483" s="1" t="n">
        <v>46222</v>
      </c>
      <c r="F483" t="inlineStr">
        <is>
          <t>BLEKINGE LÄN</t>
        </is>
      </c>
      <c r="G483" t="inlineStr">
        <is>
          <t>KARLSKRONA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18109-2026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46125</v>
      </c>
      <c r="E484" s="1" t="n">
        <v>46222</v>
      </c>
      <c r="F484" t="inlineStr">
        <is>
          <t>BLEKINGE LÄN</t>
        </is>
      </c>
      <c r="G484" t="inlineStr">
        <is>
          <t>KARLSKRONA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19105-2023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45048</v>
      </c>
      <c r="E485" s="1" t="n">
        <v>46222</v>
      </c>
      <c r="F485" t="inlineStr">
        <is>
          <t>BLEKINGE LÄN</t>
        </is>
      </c>
      <c r="G485" t="inlineStr">
        <is>
          <t>KARLSKRONA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23410-2023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45076</v>
      </c>
      <c r="E486" s="1" t="n">
        <v>46222</v>
      </c>
      <c r="F486" t="inlineStr">
        <is>
          <t>BLEKINGE LÄN</t>
        </is>
      </c>
      <c r="G486" t="inlineStr">
        <is>
          <t>KARLSKRONA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41243-2023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45174</v>
      </c>
      <c r="E487" s="1" t="n">
        <v>46222</v>
      </c>
      <c r="F487" t="inlineStr">
        <is>
          <t>BLEKINGE LÄN</t>
        </is>
      </c>
      <c r="G487" t="inlineStr">
        <is>
          <t>KARLSKRONA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40714-2023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45170</v>
      </c>
      <c r="E488" s="1" t="n">
        <v>46222</v>
      </c>
      <c r="F488" t="inlineStr">
        <is>
          <t>BLEKINGE LÄN</t>
        </is>
      </c>
      <c r="G488" t="inlineStr">
        <is>
          <t>KARLSKRONA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63899-2023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45278</v>
      </c>
      <c r="E489" s="1" t="n">
        <v>46222</v>
      </c>
      <c r="F489" t="inlineStr">
        <is>
          <t>BLEKINGE LÄN</t>
        </is>
      </c>
      <c r="G489" t="inlineStr">
        <is>
          <t>KARLSKRONA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42532-2023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45181</v>
      </c>
      <c r="E490" s="1" t="n">
        <v>46222</v>
      </c>
      <c r="F490" t="inlineStr">
        <is>
          <t>BLEKINGE LÄN</t>
        </is>
      </c>
      <c r="G490" t="inlineStr">
        <is>
          <t>KARLSKRONA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3024-2022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44581</v>
      </c>
      <c r="E491" s="1" t="n">
        <v>46222</v>
      </c>
      <c r="F491" t="inlineStr">
        <is>
          <t>BLEKINGE LÄN</t>
        </is>
      </c>
      <c r="G491" t="inlineStr">
        <is>
          <t>KARLSKRONA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8799-2024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45335</v>
      </c>
      <c r="E492" s="1" t="n">
        <v>46222</v>
      </c>
      <c r="F492" t="inlineStr">
        <is>
          <t>BLEKINGE LÄN</t>
        </is>
      </c>
      <c r="G492" t="inlineStr">
        <is>
          <t>KARLSKRONA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5649-2024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45334</v>
      </c>
      <c r="E493" s="1" t="n">
        <v>46222</v>
      </c>
      <c r="F493" t="inlineStr">
        <is>
          <t>BLEKINGE LÄN</t>
        </is>
      </c>
      <c r="G493" t="inlineStr">
        <is>
          <t>KARLSKRONA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21589-2025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45783</v>
      </c>
      <c r="E494" s="1" t="n">
        <v>46222</v>
      </c>
      <c r="F494" t="inlineStr">
        <is>
          <t>BLEKINGE LÄN</t>
        </is>
      </c>
      <c r="G494" t="inlineStr">
        <is>
          <t>KARLSKRONA</t>
        </is>
      </c>
      <c r="I494" t="n">
        <v>11.5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64490-2021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44511</v>
      </c>
      <c r="E495" s="1" t="n">
        <v>46222</v>
      </c>
      <c r="F495" t="inlineStr">
        <is>
          <t>BLEKINGE LÄN</t>
        </is>
      </c>
      <c r="G495" t="inlineStr">
        <is>
          <t>KARLSKRONA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44580-2025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45917</v>
      </c>
      <c r="E496" s="1" t="n">
        <v>46222</v>
      </c>
      <c r="F496" t="inlineStr">
        <is>
          <t>BLEKINGE LÄN</t>
        </is>
      </c>
      <c r="G496" t="inlineStr">
        <is>
          <t>KARLSKRONA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40041-2025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45894</v>
      </c>
      <c r="E497" s="1" t="n">
        <v>46222</v>
      </c>
      <c r="F497" t="inlineStr">
        <is>
          <t>BLEKINGE LÄN</t>
        </is>
      </c>
      <c r="G497" t="inlineStr">
        <is>
          <t>KARLSKRONA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43595-2025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45911</v>
      </c>
      <c r="E498" s="1" t="n">
        <v>46222</v>
      </c>
      <c r="F498" t="inlineStr">
        <is>
          <t>BLEKINGE LÄN</t>
        </is>
      </c>
      <c r="G498" t="inlineStr">
        <is>
          <t>KARLSKRONA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45711-2025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45923</v>
      </c>
      <c r="E499" s="1" t="n">
        <v>46222</v>
      </c>
      <c r="F499" t="inlineStr">
        <is>
          <t>BLEKINGE LÄN</t>
        </is>
      </c>
      <c r="G499" t="inlineStr">
        <is>
          <t>KARLSKRONA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58402-2025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45985</v>
      </c>
      <c r="E500" s="1" t="n">
        <v>46222</v>
      </c>
      <c r="F500" t="inlineStr">
        <is>
          <t>BLEKINGE LÄN</t>
        </is>
      </c>
      <c r="G500" t="inlineStr">
        <is>
          <t>KARLSKRONA</t>
        </is>
      </c>
      <c r="I500" t="n">
        <v>2.2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52682-2024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45610</v>
      </c>
      <c r="E501" s="1" t="n">
        <v>46222</v>
      </c>
      <c r="F501" t="inlineStr">
        <is>
          <t>BLEKINGE LÄN</t>
        </is>
      </c>
      <c r="G501" t="inlineStr">
        <is>
          <t>KARLSKRONA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16292-2023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45028</v>
      </c>
      <c r="E502" s="1" t="n">
        <v>46222</v>
      </c>
      <c r="F502" t="inlineStr">
        <is>
          <t>BLEKINGE LÄN</t>
        </is>
      </c>
      <c r="G502" t="inlineStr">
        <is>
          <t>KARLSKRONA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5880-2022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44596</v>
      </c>
      <c r="E503" s="1" t="n">
        <v>46222</v>
      </c>
      <c r="F503" t="inlineStr">
        <is>
          <t>BLEKINGE LÄN</t>
        </is>
      </c>
      <c r="G503" t="inlineStr">
        <is>
          <t>KARLSKRONA</t>
        </is>
      </c>
      <c r="H503" t="inlineStr">
        <is>
          <t>Kommuner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4127-2025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46222</v>
      </c>
      <c r="F504" t="inlineStr">
        <is>
          <t>BLEKINGE LÄN</t>
        </is>
      </c>
      <c r="G504" t="inlineStr">
        <is>
          <t>KARLSKRONA</t>
        </is>
      </c>
      <c r="I504" t="n">
        <v>1.5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21953-2025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45784</v>
      </c>
      <c r="E505" s="1" t="n">
        <v>46222</v>
      </c>
      <c r="F505" t="inlineStr">
        <is>
          <t>BLEKINGE LÄN</t>
        </is>
      </c>
      <c r="G505" t="inlineStr">
        <is>
          <t>KARLSKRONA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30275-2025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45827</v>
      </c>
      <c r="E506" s="1" t="n">
        <v>46222</v>
      </c>
      <c r="F506" t="inlineStr">
        <is>
          <t>BLEKINGE LÄN</t>
        </is>
      </c>
      <c r="G506" t="inlineStr">
        <is>
          <t>KARLSKRONA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55113-2025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45968</v>
      </c>
      <c r="E507" s="1" t="n">
        <v>46222</v>
      </c>
      <c r="F507" t="inlineStr">
        <is>
          <t>BLEKINGE LÄN</t>
        </is>
      </c>
      <c r="G507" t="inlineStr">
        <is>
          <t>KARLSKRONA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21833-2025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45784</v>
      </c>
      <c r="E508" s="1" t="n">
        <v>46222</v>
      </c>
      <c r="F508" t="inlineStr">
        <is>
          <t>BLEKINGE LÄN</t>
        </is>
      </c>
      <c r="G508" t="inlineStr">
        <is>
          <t>KARLSKRONA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50967-2023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45218</v>
      </c>
      <c r="E509" s="1" t="n">
        <v>46222</v>
      </c>
      <c r="F509" t="inlineStr">
        <is>
          <t>BLEKINGE LÄN</t>
        </is>
      </c>
      <c r="G509" t="inlineStr">
        <is>
          <t>KARLSKRONA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44173-2025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45915</v>
      </c>
      <c r="E510" s="1" t="n">
        <v>46222</v>
      </c>
      <c r="F510" t="inlineStr">
        <is>
          <t>BLEKINGE LÄN</t>
        </is>
      </c>
      <c r="G510" t="inlineStr">
        <is>
          <t>KARLSKRONA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38482-2025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45884</v>
      </c>
      <c r="E511" s="1" t="n">
        <v>46222</v>
      </c>
      <c r="F511" t="inlineStr">
        <is>
          <t>BLEKINGE LÄN</t>
        </is>
      </c>
      <c r="G511" t="inlineStr">
        <is>
          <t>KARLSKRONA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2169-2025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45673</v>
      </c>
      <c r="E512" s="1" t="n">
        <v>46222</v>
      </c>
      <c r="F512" t="inlineStr">
        <is>
          <t>BLEKINGE LÄN</t>
        </is>
      </c>
      <c r="G512" t="inlineStr">
        <is>
          <t>KARLSKRONA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57525-2025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45980</v>
      </c>
      <c r="E513" s="1" t="n">
        <v>46222</v>
      </c>
      <c r="F513" t="inlineStr">
        <is>
          <t>BLEKINGE LÄN</t>
        </is>
      </c>
      <c r="G513" t="inlineStr">
        <is>
          <t>KARLSKRONA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621-2025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45664</v>
      </c>
      <c r="E514" s="1" t="n">
        <v>46222</v>
      </c>
      <c r="F514" t="inlineStr">
        <is>
          <t>BLEKINGE LÄN</t>
        </is>
      </c>
      <c r="G514" t="inlineStr">
        <is>
          <t>KARLSKRONA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42437-2025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45905</v>
      </c>
      <c r="E515" s="1" t="n">
        <v>46222</v>
      </c>
      <c r="F515" t="inlineStr">
        <is>
          <t>BLEKINGE LÄN</t>
        </is>
      </c>
      <c r="G515" t="inlineStr">
        <is>
          <t>KARLSKRONA</t>
        </is>
      </c>
      <c r="H515" t="inlineStr">
        <is>
          <t>Kommuner</t>
        </is>
      </c>
      <c r="I515" t="n">
        <v>4.4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50902-2023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45218</v>
      </c>
      <c r="E516" s="1" t="n">
        <v>46222</v>
      </c>
      <c r="F516" t="inlineStr">
        <is>
          <t>BLEKINGE LÄN</t>
        </is>
      </c>
      <c r="G516" t="inlineStr">
        <is>
          <t>KARLSKRONA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74237-2021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44553</v>
      </c>
      <c r="E517" s="1" t="n">
        <v>46222</v>
      </c>
      <c r="F517" t="inlineStr">
        <is>
          <t>BLEKINGE LÄN</t>
        </is>
      </c>
      <c r="G517" t="inlineStr">
        <is>
          <t>KARLSKRONA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23158-2023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45075</v>
      </c>
      <c r="E518" s="1" t="n">
        <v>46222</v>
      </c>
      <c r="F518" t="inlineStr">
        <is>
          <t>BLEKINGE LÄN</t>
        </is>
      </c>
      <c r="G518" t="inlineStr">
        <is>
          <t>KARLSKRONA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37777-2025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45880</v>
      </c>
      <c r="E519" s="1" t="n">
        <v>46222</v>
      </c>
      <c r="F519" t="inlineStr">
        <is>
          <t>BLEKINGE LÄN</t>
        </is>
      </c>
      <c r="G519" t="inlineStr">
        <is>
          <t>KARLSKRONA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12698-2022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44641</v>
      </c>
      <c r="E520" s="1" t="n">
        <v>46222</v>
      </c>
      <c r="F520" t="inlineStr">
        <is>
          <t>BLEKINGE LÄN</t>
        </is>
      </c>
      <c r="G520" t="inlineStr">
        <is>
          <t>KARLSKRONA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67336-2021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44523</v>
      </c>
      <c r="E521" s="1" t="n">
        <v>46222</v>
      </c>
      <c r="F521" t="inlineStr">
        <is>
          <t>BLEKINGE LÄN</t>
        </is>
      </c>
      <c r="G521" t="inlineStr">
        <is>
          <t>KARLSKRONA</t>
        </is>
      </c>
      <c r="I521" t="n">
        <v>13.4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46712-2021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44445</v>
      </c>
      <c r="E522" s="1" t="n">
        <v>46222</v>
      </c>
      <c r="F522" t="inlineStr">
        <is>
          <t>BLEKINGE LÄN</t>
        </is>
      </c>
      <c r="G522" t="inlineStr">
        <is>
          <t>KARLSKRONA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4800-2024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45328</v>
      </c>
      <c r="E523" s="1" t="n">
        <v>46222</v>
      </c>
      <c r="F523" t="inlineStr">
        <is>
          <t>BLEKINGE LÄN</t>
        </is>
      </c>
      <c r="G523" t="inlineStr">
        <is>
          <t>KARLSKRONA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10629-2022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44624</v>
      </c>
      <c r="E524" s="1" t="n">
        <v>46222</v>
      </c>
      <c r="F524" t="inlineStr">
        <is>
          <t>BLEKINGE LÄN</t>
        </is>
      </c>
      <c r="G524" t="inlineStr">
        <is>
          <t>KARLSKRONA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15456-2025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45747</v>
      </c>
      <c r="E525" s="1" t="n">
        <v>46222</v>
      </c>
      <c r="F525" t="inlineStr">
        <is>
          <t>BLEKINGE LÄN</t>
        </is>
      </c>
      <c r="G525" t="inlineStr">
        <is>
          <t>KARLSKRONA</t>
        </is>
      </c>
      <c r="I525" t="n">
        <v>6.1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38392-2023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45162</v>
      </c>
      <c r="E526" s="1" t="n">
        <v>46222</v>
      </c>
      <c r="F526" t="inlineStr">
        <is>
          <t>BLEKINGE LÄN</t>
        </is>
      </c>
      <c r="G526" t="inlineStr">
        <is>
          <t>KARLSKRONA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3013-2024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45315</v>
      </c>
      <c r="E527" s="1" t="n">
        <v>46222</v>
      </c>
      <c r="F527" t="inlineStr">
        <is>
          <t>BLEKINGE LÄN</t>
        </is>
      </c>
      <c r="G527" t="inlineStr">
        <is>
          <t>KARLSKRONA</t>
        </is>
      </c>
      <c r="I527" t="n">
        <v>3.5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35858-2022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44799</v>
      </c>
      <c r="E528" s="1" t="n">
        <v>46222</v>
      </c>
      <c r="F528" t="inlineStr">
        <is>
          <t>BLEKINGE LÄN</t>
        </is>
      </c>
      <c r="G528" t="inlineStr">
        <is>
          <t>KARLSKRONA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26108-2026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46222</v>
      </c>
      <c r="F529" t="inlineStr">
        <is>
          <t>BLEKINGE LÄN</t>
        </is>
      </c>
      <c r="G529" t="inlineStr">
        <is>
          <t>KARLSKRONA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52951-2024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45610</v>
      </c>
      <c r="E530" s="1" t="n">
        <v>46222</v>
      </c>
      <c r="F530" t="inlineStr">
        <is>
          <t>BLEKINGE LÄN</t>
        </is>
      </c>
      <c r="G530" t="inlineStr">
        <is>
          <t>KARLSKRONA</t>
        </is>
      </c>
      <c r="I530" t="n">
        <v>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12030-2022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44636</v>
      </c>
      <c r="E531" s="1" t="n">
        <v>46222</v>
      </c>
      <c r="F531" t="inlineStr">
        <is>
          <t>BLEKINGE LÄN</t>
        </is>
      </c>
      <c r="G531" t="inlineStr">
        <is>
          <t>KARLSKRONA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10576-2024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45366</v>
      </c>
      <c r="E532" s="1" t="n">
        <v>46222</v>
      </c>
      <c r="F532" t="inlineStr">
        <is>
          <t>BLEKINGE LÄN</t>
        </is>
      </c>
      <c r="G532" t="inlineStr">
        <is>
          <t>KARLSKRONA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26485-2023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45092</v>
      </c>
      <c r="E533" s="1" t="n">
        <v>46222</v>
      </c>
      <c r="F533" t="inlineStr">
        <is>
          <t>BLEKINGE LÄN</t>
        </is>
      </c>
      <c r="G533" t="inlineStr">
        <is>
          <t>KARLSKRONA</t>
        </is>
      </c>
      <c r="I533" t="n">
        <v>39.4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3618-2022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44586</v>
      </c>
      <c r="E534" s="1" t="n">
        <v>46222</v>
      </c>
      <c r="F534" t="inlineStr">
        <is>
          <t>BLEKINGE LÄN</t>
        </is>
      </c>
      <c r="G534" t="inlineStr">
        <is>
          <t>KARLSKRONA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26099-2026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46222</v>
      </c>
      <c r="F535" t="inlineStr">
        <is>
          <t>BLEKINGE LÄN</t>
        </is>
      </c>
      <c r="G535" t="inlineStr">
        <is>
          <t>KARLSKRONA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42335-2023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45180</v>
      </c>
      <c r="E536" s="1" t="n">
        <v>46222</v>
      </c>
      <c r="F536" t="inlineStr">
        <is>
          <t>BLEKINGE LÄN</t>
        </is>
      </c>
      <c r="G536" t="inlineStr">
        <is>
          <t>KARLSKRONA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26190-2026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46222</v>
      </c>
      <c r="F537" t="inlineStr">
        <is>
          <t>BLEKINGE LÄN</t>
        </is>
      </c>
      <c r="G537" t="inlineStr">
        <is>
          <t>KARLSKRONA</t>
        </is>
      </c>
      <c r="I537" t="n">
        <v>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40080-2023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45168</v>
      </c>
      <c r="E538" s="1" t="n">
        <v>46222</v>
      </c>
      <c r="F538" t="inlineStr">
        <is>
          <t>BLEKINGE LÄN</t>
        </is>
      </c>
      <c r="G538" t="inlineStr">
        <is>
          <t>KARLSKRONA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40579-2023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45170</v>
      </c>
      <c r="E539" s="1" t="n">
        <v>46222</v>
      </c>
      <c r="F539" t="inlineStr">
        <is>
          <t>BLEKINGE LÄN</t>
        </is>
      </c>
      <c r="G539" t="inlineStr">
        <is>
          <t>KARLSKRONA</t>
        </is>
      </c>
      <c r="I539" t="n">
        <v>9.199999999999999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45440-2023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45194</v>
      </c>
      <c r="E540" s="1" t="n">
        <v>46222</v>
      </c>
      <c r="F540" t="inlineStr">
        <is>
          <t>BLEKINGE LÄN</t>
        </is>
      </c>
      <c r="G540" t="inlineStr">
        <is>
          <t>KARLSKRONA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27025-2023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45095</v>
      </c>
      <c r="E541" s="1" t="n">
        <v>46222</v>
      </c>
      <c r="F541" t="inlineStr">
        <is>
          <t>BLEKINGE LÄN</t>
        </is>
      </c>
      <c r="G541" t="inlineStr">
        <is>
          <t>KARLSKRONA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60501-2024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45643</v>
      </c>
      <c r="E542" s="1" t="n">
        <v>46222</v>
      </c>
      <c r="F542" t="inlineStr">
        <is>
          <t>BLEKINGE LÄN</t>
        </is>
      </c>
      <c r="G542" t="inlineStr">
        <is>
          <t>KARLSKRONA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29583-2022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44754</v>
      </c>
      <c r="E543" s="1" t="n">
        <v>46222</v>
      </c>
      <c r="F543" t="inlineStr">
        <is>
          <t>BLEKINGE LÄN</t>
        </is>
      </c>
      <c r="G543" t="inlineStr">
        <is>
          <t>KARLSKRONA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21150-2023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46222</v>
      </c>
      <c r="F544" t="inlineStr">
        <is>
          <t>BLEKINGE LÄN</t>
        </is>
      </c>
      <c r="G544" t="inlineStr">
        <is>
          <t>KARLSKRONA</t>
        </is>
      </c>
      <c r="I544" t="n">
        <v>8.5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21832-2025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46222</v>
      </c>
      <c r="F545" t="inlineStr">
        <is>
          <t>BLEKINGE LÄN</t>
        </is>
      </c>
      <c r="G545" t="inlineStr">
        <is>
          <t>KARLSKRONA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46027-2023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45196</v>
      </c>
      <c r="E546" s="1" t="n">
        <v>46222</v>
      </c>
      <c r="F546" t="inlineStr">
        <is>
          <t>BLEKINGE LÄN</t>
        </is>
      </c>
      <c r="G546" t="inlineStr">
        <is>
          <t>KARLSKRONA</t>
        </is>
      </c>
      <c r="I546" t="n">
        <v>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25975-2023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45090</v>
      </c>
      <c r="E547" s="1" t="n">
        <v>46222</v>
      </c>
      <c r="F547" t="inlineStr">
        <is>
          <t>BLEKINGE LÄN</t>
        </is>
      </c>
      <c r="G547" t="inlineStr">
        <is>
          <t>KARLSKRONA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26092-2026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46181</v>
      </c>
      <c r="E548" s="1" t="n">
        <v>46222</v>
      </c>
      <c r="F548" t="inlineStr">
        <is>
          <t>BLEKINGE LÄN</t>
        </is>
      </c>
      <c r="G548" t="inlineStr">
        <is>
          <t>KARLSKRONA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46712-2023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45198</v>
      </c>
      <c r="E549" s="1" t="n">
        <v>46222</v>
      </c>
      <c r="F549" t="inlineStr">
        <is>
          <t>BLEKINGE LÄN</t>
        </is>
      </c>
      <c r="G549" t="inlineStr">
        <is>
          <t>KARLSKRONA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24179-2022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44725</v>
      </c>
      <c r="E550" s="1" t="n">
        <v>46222</v>
      </c>
      <c r="F550" t="inlineStr">
        <is>
          <t>BLEKINGE LÄN</t>
        </is>
      </c>
      <c r="G550" t="inlineStr">
        <is>
          <t>KARLSKRONA</t>
        </is>
      </c>
      <c r="I550" t="n">
        <v>3.3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21486-2022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44706</v>
      </c>
      <c r="E551" s="1" t="n">
        <v>46222</v>
      </c>
      <c r="F551" t="inlineStr">
        <is>
          <t>BLEKINGE LÄN</t>
        </is>
      </c>
      <c r="G551" t="inlineStr">
        <is>
          <t>KARLSKRONA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57818-2025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45981</v>
      </c>
      <c r="E552" s="1" t="n">
        <v>46222</v>
      </c>
      <c r="F552" t="inlineStr">
        <is>
          <t>BLEKINGE LÄN</t>
        </is>
      </c>
      <c r="G552" t="inlineStr">
        <is>
          <t>KARLSKRONA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7997-2025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45707</v>
      </c>
      <c r="E553" s="1" t="n">
        <v>46222</v>
      </c>
      <c r="F553" t="inlineStr">
        <is>
          <t>BLEKINGE LÄN</t>
        </is>
      </c>
      <c r="G553" t="inlineStr">
        <is>
          <t>KARLSKRONA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18124-2025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45761</v>
      </c>
      <c r="E554" s="1" t="n">
        <v>46222</v>
      </c>
      <c r="F554" t="inlineStr">
        <is>
          <t>BLEKINGE LÄN</t>
        </is>
      </c>
      <c r="G554" t="inlineStr">
        <is>
          <t>KARLSKRONA</t>
        </is>
      </c>
      <c r="I554" t="n">
        <v>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49093-2023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45210</v>
      </c>
      <c r="E555" s="1" t="n">
        <v>46222</v>
      </c>
      <c r="F555" t="inlineStr">
        <is>
          <t>BLEKINGE LÄN</t>
        </is>
      </c>
      <c r="G555" t="inlineStr">
        <is>
          <t>KARLSKRONA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20516-2025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45775</v>
      </c>
      <c r="E556" s="1" t="n">
        <v>46222</v>
      </c>
      <c r="F556" t="inlineStr">
        <is>
          <t>BLEKINGE LÄN</t>
        </is>
      </c>
      <c r="G556" t="inlineStr">
        <is>
          <t>KARLSKRONA</t>
        </is>
      </c>
      <c r="I556" t="n">
        <v>9.6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35491-2024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45531</v>
      </c>
      <c r="E557" s="1" t="n">
        <v>46222</v>
      </c>
      <c r="F557" t="inlineStr">
        <is>
          <t>BLEKINGE LÄN</t>
        </is>
      </c>
      <c r="G557" t="inlineStr">
        <is>
          <t>KARLSKRONA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45503-2024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45578</v>
      </c>
      <c r="E558" s="1" t="n">
        <v>46222</v>
      </c>
      <c r="F558" t="inlineStr">
        <is>
          <t>BLEKINGE LÄN</t>
        </is>
      </c>
      <c r="G558" t="inlineStr">
        <is>
          <t>KARLSKRONA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22798-2025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45789</v>
      </c>
      <c r="E559" s="1" t="n">
        <v>46222</v>
      </c>
      <c r="F559" t="inlineStr">
        <is>
          <t>BLEKINGE LÄN</t>
        </is>
      </c>
      <c r="G559" t="inlineStr">
        <is>
          <t>KARLSKRONA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39381-2023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45166</v>
      </c>
      <c r="E560" s="1" t="n">
        <v>46222</v>
      </c>
      <c r="F560" t="inlineStr">
        <is>
          <t>BLEKINGE LÄN</t>
        </is>
      </c>
      <c r="G560" t="inlineStr">
        <is>
          <t>KARLSKRONA</t>
        </is>
      </c>
      <c r="I560" t="n">
        <v>7.1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40936-2023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45173</v>
      </c>
      <c r="E561" s="1" t="n">
        <v>46222</v>
      </c>
      <c r="F561" t="inlineStr">
        <is>
          <t>BLEKINGE LÄN</t>
        </is>
      </c>
      <c r="G561" t="inlineStr">
        <is>
          <t>KARLSKRONA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9306-2022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44616</v>
      </c>
      <c r="E562" s="1" t="n">
        <v>46222</v>
      </c>
      <c r="F562" t="inlineStr">
        <is>
          <t>BLEKINGE LÄN</t>
        </is>
      </c>
      <c r="G562" t="inlineStr">
        <is>
          <t>KARLSKRONA</t>
        </is>
      </c>
      <c r="I562" t="n">
        <v>4.9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24969-2022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44728</v>
      </c>
      <c r="E563" s="1" t="n">
        <v>46222</v>
      </c>
      <c r="F563" t="inlineStr">
        <is>
          <t>BLEKINGE LÄN</t>
        </is>
      </c>
      <c r="G563" t="inlineStr">
        <is>
          <t>KARLSKRONA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45697</v>
      </c>
      <c r="E564" s="1" t="n">
        <v>46222</v>
      </c>
      <c r="F564" t="inlineStr">
        <is>
          <t>BLEKINGE LÄN</t>
        </is>
      </c>
      <c r="G564" t="inlineStr">
        <is>
          <t>KARLSKRONA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27481-2022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44742</v>
      </c>
      <c r="E565" s="1" t="n">
        <v>46222</v>
      </c>
      <c r="F565" t="inlineStr">
        <is>
          <t>BLEKINGE LÄN</t>
        </is>
      </c>
      <c r="G565" t="inlineStr">
        <is>
          <t>KARLSKRONA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45482-2024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45576</v>
      </c>
      <c r="E566" s="1" t="n">
        <v>46222</v>
      </c>
      <c r="F566" t="inlineStr">
        <is>
          <t>BLEKINGE LÄN</t>
        </is>
      </c>
      <c r="G566" t="inlineStr">
        <is>
          <t>KARLSKRONA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37394-2022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44809</v>
      </c>
      <c r="E567" s="1" t="n">
        <v>46222</v>
      </c>
      <c r="F567" t="inlineStr">
        <is>
          <t>BLEKINGE LÄN</t>
        </is>
      </c>
      <c r="G567" t="inlineStr">
        <is>
          <t>KARLSKRONA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21997-2022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44711</v>
      </c>
      <c r="E568" s="1" t="n">
        <v>46222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26412-2026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46183</v>
      </c>
      <c r="E569" s="1" t="n">
        <v>46222</v>
      </c>
      <c r="F569" t="inlineStr">
        <is>
          <t>BLEKINGE LÄN</t>
        </is>
      </c>
      <c r="G569" t="inlineStr">
        <is>
          <t>KARLSKRONA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30106-2022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44757</v>
      </c>
      <c r="E570" s="1" t="n">
        <v>46222</v>
      </c>
      <c r="F570" t="inlineStr">
        <is>
          <t>BLEKINGE LÄN</t>
        </is>
      </c>
      <c r="G570" t="inlineStr">
        <is>
          <t>KARLSKRONA</t>
        </is>
      </c>
      <c r="I570" t="n">
        <v>11.2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11630-2022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44631</v>
      </c>
      <c r="E571" s="1" t="n">
        <v>46222</v>
      </c>
      <c r="F571" t="inlineStr">
        <is>
          <t>BLEKINGE LÄN</t>
        </is>
      </c>
      <c r="G571" t="inlineStr">
        <is>
          <t>KARLSKRONA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55374-2023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45238</v>
      </c>
      <c r="E572" s="1" t="n">
        <v>46222</v>
      </c>
      <c r="F572" t="inlineStr">
        <is>
          <t>BLEKINGE LÄN</t>
        </is>
      </c>
      <c r="G572" t="inlineStr">
        <is>
          <t>KARLSKRONA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25455-2024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45463</v>
      </c>
      <c r="E573" s="1" t="n">
        <v>46222</v>
      </c>
      <c r="F573" t="inlineStr">
        <is>
          <t>BLEKINGE LÄN</t>
        </is>
      </c>
      <c r="G573" t="inlineStr">
        <is>
          <t>KARLSKRONA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25458-2024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45463</v>
      </c>
      <c r="E574" s="1" t="n">
        <v>46222</v>
      </c>
      <c r="F574" t="inlineStr">
        <is>
          <t>BLEKINGE LÄN</t>
        </is>
      </c>
      <c r="G574" t="inlineStr">
        <is>
          <t>KARLSKRONA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27209-2026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46188</v>
      </c>
      <c r="E575" s="1" t="n">
        <v>46222</v>
      </c>
      <c r="F575" t="inlineStr">
        <is>
          <t>BLEKINGE LÄN</t>
        </is>
      </c>
      <c r="G575" t="inlineStr">
        <is>
          <t>KARLSKRONA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27010-2026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46185</v>
      </c>
      <c r="E576" s="1" t="n">
        <v>46222</v>
      </c>
      <c r="F576" t="inlineStr">
        <is>
          <t>BLEKINGE LÄN</t>
        </is>
      </c>
      <c r="G576" t="inlineStr">
        <is>
          <t>KARLSKRONA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55434-2023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46222</v>
      </c>
      <c r="F577" t="inlineStr">
        <is>
          <t>BLEKINGE LÄN</t>
        </is>
      </c>
      <c r="G577" t="inlineStr">
        <is>
          <t>KARLSKRONA</t>
        </is>
      </c>
      <c r="I577" t="n">
        <v>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42323-2023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45180</v>
      </c>
      <c r="E578" s="1" t="n">
        <v>46222</v>
      </c>
      <c r="F578" t="inlineStr">
        <is>
          <t>BLEKINGE LÄN</t>
        </is>
      </c>
      <c r="G578" t="inlineStr">
        <is>
          <t>KARLSKRONA</t>
        </is>
      </c>
      <c r="I578" t="n">
        <v>14.7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40074-2022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44820</v>
      </c>
      <c r="E579" s="1" t="n">
        <v>46222</v>
      </c>
      <c r="F579" t="inlineStr">
        <is>
          <t>BLEKINGE LÄN</t>
        </is>
      </c>
      <c r="G579" t="inlineStr">
        <is>
          <t>KARLSKRONA</t>
        </is>
      </c>
      <c r="I579" t="n">
        <v>4.4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27230-2026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46188</v>
      </c>
      <c r="E580" s="1" t="n">
        <v>46222</v>
      </c>
      <c r="F580" t="inlineStr">
        <is>
          <t>BLEKINGE LÄN</t>
        </is>
      </c>
      <c r="G580" t="inlineStr">
        <is>
          <t>KARLSKRONA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23858-2022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44722</v>
      </c>
      <c r="E581" s="1" t="n">
        <v>46222</v>
      </c>
      <c r="F581" t="inlineStr">
        <is>
          <t>BLEKINGE LÄN</t>
        </is>
      </c>
      <c r="G581" t="inlineStr">
        <is>
          <t>KARLSKRONA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2195-2024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46222</v>
      </c>
      <c r="F582" t="inlineStr">
        <is>
          <t>BLEKINGE LÄN</t>
        </is>
      </c>
      <c r="G582" t="inlineStr">
        <is>
          <t>KARLSKRONA</t>
        </is>
      </c>
      <c r="I582" t="n">
        <v>8.199999999999999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21464-2026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46148</v>
      </c>
      <c r="E583" s="1" t="n">
        <v>46222</v>
      </c>
      <c r="F583" t="inlineStr">
        <is>
          <t>BLEKINGE LÄN</t>
        </is>
      </c>
      <c r="G583" t="inlineStr">
        <is>
          <t>KARLSKRONA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698-2023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44930</v>
      </c>
      <c r="E584" s="1" t="n">
        <v>46222</v>
      </c>
      <c r="F584" t="inlineStr">
        <is>
          <t>BLEKINGE LÄN</t>
        </is>
      </c>
      <c r="G584" t="inlineStr">
        <is>
          <t>KARLSKRONA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10226-2024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45365</v>
      </c>
      <c r="E585" s="1" t="n">
        <v>46222</v>
      </c>
      <c r="F585" t="inlineStr">
        <is>
          <t>BLEKINGE LÄN</t>
        </is>
      </c>
      <c r="G585" t="inlineStr">
        <is>
          <t>KARLSKRONA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57646-2024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45630</v>
      </c>
      <c r="E586" s="1" t="n">
        <v>46222</v>
      </c>
      <c r="F586" t="inlineStr">
        <is>
          <t>BLEKINGE LÄN</t>
        </is>
      </c>
      <c r="G586" t="inlineStr">
        <is>
          <t>KARLSKRONA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9620-2024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45361</v>
      </c>
      <c r="E587" s="1" t="n">
        <v>46222</v>
      </c>
      <c r="F587" t="inlineStr">
        <is>
          <t>BLEKINGE LÄN</t>
        </is>
      </c>
      <c r="G587" t="inlineStr">
        <is>
          <t>KARLSKRONA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49693-2022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44862</v>
      </c>
      <c r="E588" s="1" t="n">
        <v>46222</v>
      </c>
      <c r="F588" t="inlineStr">
        <is>
          <t>BLEKINGE LÄN</t>
        </is>
      </c>
      <c r="G588" t="inlineStr">
        <is>
          <t>KARLSKRONA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55057-2022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44886</v>
      </c>
      <c r="E589" s="1" t="n">
        <v>46222</v>
      </c>
      <c r="F589" t="inlineStr">
        <is>
          <t>BLEKINGE LÄN</t>
        </is>
      </c>
      <c r="G589" t="inlineStr">
        <is>
          <t>KARLSKRONA</t>
        </is>
      </c>
      <c r="I589" t="n">
        <v>16.8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21803-2026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46222</v>
      </c>
      <c r="F590" t="inlineStr">
        <is>
          <t>BLEKINGE LÄN</t>
        </is>
      </c>
      <c r="G590" t="inlineStr">
        <is>
          <t>KARLSKRONA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21816-2026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46150</v>
      </c>
      <c r="E591" s="1" t="n">
        <v>46222</v>
      </c>
      <c r="F591" t="inlineStr">
        <is>
          <t>BLEKINGE LÄN</t>
        </is>
      </c>
      <c r="G591" t="inlineStr">
        <is>
          <t>KARLSKRONA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3115-2023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44946</v>
      </c>
      <c r="E592" s="1" t="n">
        <v>46222</v>
      </c>
      <c r="F592" t="inlineStr">
        <is>
          <t>BLEKINGE LÄN</t>
        </is>
      </c>
      <c r="G592" t="inlineStr">
        <is>
          <t>KARLSKRONA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7596-2024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45348</v>
      </c>
      <c r="E593" s="1" t="n">
        <v>46222</v>
      </c>
      <c r="F593" t="inlineStr">
        <is>
          <t>BLEKINGE LÄN</t>
        </is>
      </c>
      <c r="G593" t="inlineStr">
        <is>
          <t>KARLSKRONA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21808-2026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46222</v>
      </c>
      <c r="F594" t="inlineStr">
        <is>
          <t>BLEKINGE LÄN</t>
        </is>
      </c>
      <c r="G594" t="inlineStr">
        <is>
          <t>KARLSKRONA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21811-2026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46150</v>
      </c>
      <c r="E595" s="1" t="n">
        <v>46222</v>
      </c>
      <c r="F595" t="inlineStr">
        <is>
          <t>BLEKINGE LÄN</t>
        </is>
      </c>
      <c r="G595" t="inlineStr">
        <is>
          <t>KARLSKRONA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46901-2022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44851</v>
      </c>
      <c r="E596" s="1" t="n">
        <v>46222</v>
      </c>
      <c r="F596" t="inlineStr">
        <is>
          <t>BLEKINGE LÄN</t>
        </is>
      </c>
      <c r="G596" t="inlineStr">
        <is>
          <t>KARLSKRONA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29481-2022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44753</v>
      </c>
      <c r="E597" s="1" t="n">
        <v>46222</v>
      </c>
      <c r="F597" t="inlineStr">
        <is>
          <t>BLEKINGE LÄN</t>
        </is>
      </c>
      <c r="G597" t="inlineStr">
        <is>
          <t>KARLSKRONA</t>
        </is>
      </c>
      <c r="I597" t="n">
        <v>9.5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2096-2024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45309</v>
      </c>
      <c r="E598" s="1" t="n">
        <v>46222</v>
      </c>
      <c r="F598" t="inlineStr">
        <is>
          <t>BLEKINGE LÄN</t>
        </is>
      </c>
      <c r="G598" t="inlineStr">
        <is>
          <t>KARLSKRONA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63981-2023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45278</v>
      </c>
      <c r="E599" s="1" t="n">
        <v>46222</v>
      </c>
      <c r="F599" t="inlineStr">
        <is>
          <t>BLEKINGE LÄN</t>
        </is>
      </c>
      <c r="G599" t="inlineStr">
        <is>
          <t>KARLSKRONA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9281-2024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45358</v>
      </c>
      <c r="E600" s="1" t="n">
        <v>46222</v>
      </c>
      <c r="F600" t="inlineStr">
        <is>
          <t>BLEKINGE LÄN</t>
        </is>
      </c>
      <c r="G600" t="inlineStr">
        <is>
          <t>KARLSKRONA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15241-2023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45019</v>
      </c>
      <c r="E601" s="1" t="n">
        <v>46222</v>
      </c>
      <c r="F601" t="inlineStr">
        <is>
          <t>BLEKINGE LÄN</t>
        </is>
      </c>
      <c r="G601" t="inlineStr">
        <is>
          <t>KARLSKRONA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37608-2023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45159</v>
      </c>
      <c r="E602" s="1" t="n">
        <v>46222</v>
      </c>
      <c r="F602" t="inlineStr">
        <is>
          <t>BLEKINGE LÄN</t>
        </is>
      </c>
      <c r="G602" t="inlineStr">
        <is>
          <t>KARLSKRONA</t>
        </is>
      </c>
      <c r="I602" t="n">
        <v>3.4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53552-2022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44874</v>
      </c>
      <c r="E603" s="1" t="n">
        <v>46222</v>
      </c>
      <c r="F603" t="inlineStr">
        <is>
          <t>BLEKINGE LÄN</t>
        </is>
      </c>
      <c r="G603" t="inlineStr">
        <is>
          <t>KARLSKRONA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39228-2023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45166</v>
      </c>
      <c r="E604" s="1" t="n">
        <v>46222</v>
      </c>
      <c r="F604" t="inlineStr">
        <is>
          <t>BLEKINGE LÄN</t>
        </is>
      </c>
      <c r="G604" t="inlineStr">
        <is>
          <t>KARLSKRONA</t>
        </is>
      </c>
      <c r="I604" t="n">
        <v>12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16639-2022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44672</v>
      </c>
      <c r="E605" s="1" t="n">
        <v>46222</v>
      </c>
      <c r="F605" t="inlineStr">
        <is>
          <t>BLEKINGE LÄN</t>
        </is>
      </c>
      <c r="G605" t="inlineStr">
        <is>
          <t>KARLSKRONA</t>
        </is>
      </c>
      <c r="I605" t="n">
        <v>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12180-2022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44636</v>
      </c>
      <c r="E606" s="1" t="n">
        <v>46222</v>
      </c>
      <c r="F606" t="inlineStr">
        <is>
          <t>BLEKINGE LÄN</t>
        </is>
      </c>
      <c r="G606" t="inlineStr">
        <is>
          <t>KARLSKRONA</t>
        </is>
      </c>
      <c r="I606" t="n">
        <v>2.5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3328-2022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44585</v>
      </c>
      <c r="E607" s="1" t="n">
        <v>46222</v>
      </c>
      <c r="F607" t="inlineStr">
        <is>
          <t>BLEKINGE LÄN</t>
        </is>
      </c>
      <c r="G607" t="inlineStr">
        <is>
          <t>KARLSKRONA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34533-2023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45140</v>
      </c>
      <c r="E608" s="1" t="n">
        <v>46222</v>
      </c>
      <c r="F608" t="inlineStr">
        <is>
          <t>BLEKINGE LÄN</t>
        </is>
      </c>
      <c r="G608" t="inlineStr">
        <is>
          <t>KARLSKRONA</t>
        </is>
      </c>
      <c r="I608" t="n">
        <v>2.3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13694-2026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46097</v>
      </c>
      <c r="E609" s="1" t="n">
        <v>46222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23072-2023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45070</v>
      </c>
      <c r="E610" s="1" t="n">
        <v>46222</v>
      </c>
      <c r="F610" t="inlineStr">
        <is>
          <t>BLEKINGE LÄN</t>
        </is>
      </c>
      <c r="G610" t="inlineStr">
        <is>
          <t>KARLSKRONA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61296-2024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45645</v>
      </c>
      <c r="E611" s="1" t="n">
        <v>46222</v>
      </c>
      <c r="F611" t="inlineStr">
        <is>
          <t>BLEKINGE LÄN</t>
        </is>
      </c>
      <c r="G611" t="inlineStr">
        <is>
          <t>KARLSKRONA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972-2024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45301</v>
      </c>
      <c r="E612" s="1" t="n">
        <v>46222</v>
      </c>
      <c r="F612" t="inlineStr">
        <is>
          <t>BLEKINGE LÄN</t>
        </is>
      </c>
      <c r="G612" t="inlineStr">
        <is>
          <t>KARLSKRONA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7119-2024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45344</v>
      </c>
      <c r="E613" s="1" t="n">
        <v>46222</v>
      </c>
      <c r="F613" t="inlineStr">
        <is>
          <t>BLEKINGE LÄN</t>
        </is>
      </c>
      <c r="G613" t="inlineStr">
        <is>
          <t>KARLSKRONA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5962-2024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45335</v>
      </c>
      <c r="E614" s="1" t="n">
        <v>46222</v>
      </c>
      <c r="F614" t="inlineStr">
        <is>
          <t>BLEKINGE LÄN</t>
        </is>
      </c>
      <c r="G614" t="inlineStr">
        <is>
          <t>KARLSKRONA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50015-2023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45215</v>
      </c>
      <c r="E615" s="1" t="n">
        <v>46222</v>
      </c>
      <c r="F615" t="inlineStr">
        <is>
          <t>BLEKINGE LÄN</t>
        </is>
      </c>
      <c r="G615" t="inlineStr">
        <is>
          <t>KARLSKRONA</t>
        </is>
      </c>
      <c r="I615" t="n">
        <v>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25450-2023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45089</v>
      </c>
      <c r="E616" s="1" t="n">
        <v>46222</v>
      </c>
      <c r="F616" t="inlineStr">
        <is>
          <t>BLEKINGE LÄN</t>
        </is>
      </c>
      <c r="G616" t="inlineStr">
        <is>
          <t>KARLSKRONA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13140-2026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46093</v>
      </c>
      <c r="E617" s="1" t="n">
        <v>46222</v>
      </c>
      <c r="F617" t="inlineStr">
        <is>
          <t>BLEKINGE LÄN</t>
        </is>
      </c>
      <c r="G617" t="inlineStr">
        <is>
          <t>KARLSKRONA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58040-2022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44893</v>
      </c>
      <c r="E618" s="1" t="n">
        <v>46222</v>
      </c>
      <c r="F618" t="inlineStr">
        <is>
          <t>BLEKINGE LÄN</t>
        </is>
      </c>
      <c r="G618" t="inlineStr">
        <is>
          <t>KARLSKRONA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65798-2021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44517</v>
      </c>
      <c r="E619" s="1" t="n">
        <v>46222</v>
      </c>
      <c r="F619" t="inlineStr">
        <is>
          <t>BLEKINGE LÄN</t>
        </is>
      </c>
      <c r="G619" t="inlineStr">
        <is>
          <t>KARLSKRONA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52810-2024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45610</v>
      </c>
      <c r="E620" s="1" t="n">
        <v>46222</v>
      </c>
      <c r="F620" t="inlineStr">
        <is>
          <t>BLEKINGE LÄN</t>
        </is>
      </c>
      <c r="G620" t="inlineStr">
        <is>
          <t>KARLSKRONA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8197-2024</t>
        </is>
      </c>
      <c r="B621" t="inlineStr">
        <is>
          <t>avverkningsanmälan</t>
        </is>
      </c>
      <c r="C621" t="inlineStr">
        <is>
          <t>Avverkning för att bevara och utveckla /försöksver</t>
        </is>
      </c>
      <c r="D621" s="1" t="n">
        <v>45351</v>
      </c>
      <c r="E621" s="1" t="n">
        <v>46222</v>
      </c>
      <c r="F621" t="inlineStr">
        <is>
          <t>BLEKINGE LÄN</t>
        </is>
      </c>
      <c r="G621" t="inlineStr">
        <is>
          <t>KARLSKRONA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33855-2023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45133</v>
      </c>
      <c r="E622" s="1" t="n">
        <v>46222</v>
      </c>
      <c r="F622" t="inlineStr">
        <is>
          <t>BLEKINGE LÄN</t>
        </is>
      </c>
      <c r="G622" t="inlineStr">
        <is>
          <t>KARLSKRONA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71708-2021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44543</v>
      </c>
      <c r="E623" s="1" t="n">
        <v>46222</v>
      </c>
      <c r="F623" t="inlineStr">
        <is>
          <t>BLEKINGE LÄN</t>
        </is>
      </c>
      <c r="G623" t="inlineStr">
        <is>
          <t>KARLSKRONA</t>
        </is>
      </c>
      <c r="I623" t="n">
        <v>9.4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7066-2022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44603</v>
      </c>
      <c r="E624" s="1" t="n">
        <v>46222</v>
      </c>
      <c r="F624" t="inlineStr">
        <is>
          <t>BLEKINGE LÄN</t>
        </is>
      </c>
      <c r="G624" t="inlineStr">
        <is>
          <t>KARLSKRONA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59349-2021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44491</v>
      </c>
      <c r="E625" s="1" t="n">
        <v>46222</v>
      </c>
      <c r="F625" t="inlineStr">
        <is>
          <t>BLEKINGE LÄN</t>
        </is>
      </c>
      <c r="G625" t="inlineStr">
        <is>
          <t>KARLSKRONA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10621-2026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46077</v>
      </c>
      <c r="E626" s="1" t="n">
        <v>46222</v>
      </c>
      <c r="F626" t="inlineStr">
        <is>
          <t>BLEKINGE LÄN</t>
        </is>
      </c>
      <c r="G626" t="inlineStr">
        <is>
          <t>KARLSKRONA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44584-2023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45183</v>
      </c>
      <c r="E627" s="1" t="n">
        <v>46222</v>
      </c>
      <c r="F627" t="inlineStr">
        <is>
          <t>BLEKINGE LÄN</t>
        </is>
      </c>
      <c r="G627" t="inlineStr">
        <is>
          <t>KARLSKRONA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55617-2025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45971</v>
      </c>
      <c r="E628" s="1" t="n">
        <v>46222</v>
      </c>
      <c r="F628" t="inlineStr">
        <is>
          <t>BLEKINGE LÄN</t>
        </is>
      </c>
      <c r="G628" t="inlineStr">
        <is>
          <t>KARLSKRONA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31244-2025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45832</v>
      </c>
      <c r="E629" s="1" t="n">
        <v>46222</v>
      </c>
      <c r="F629" t="inlineStr">
        <is>
          <t>BLEKINGE LÄN</t>
        </is>
      </c>
      <c r="G629" t="inlineStr">
        <is>
          <t>KARLSKRONA</t>
        </is>
      </c>
      <c r="I629" t="n">
        <v>5.6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29057-2026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46199</v>
      </c>
      <c r="E630" s="1" t="n">
        <v>46222</v>
      </c>
      <c r="F630" t="inlineStr">
        <is>
          <t>BLEKINGE LÄN</t>
        </is>
      </c>
      <c r="G630" t="inlineStr">
        <is>
          <t>KARLSKRONA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26602-2025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45809</v>
      </c>
      <c r="E631" s="1" t="n">
        <v>46222</v>
      </c>
      <c r="F631" t="inlineStr">
        <is>
          <t>BLEKINGE LÄN</t>
        </is>
      </c>
      <c r="G631" t="inlineStr">
        <is>
          <t>KARLSKRONA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22800-2026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46158</v>
      </c>
      <c r="E632" s="1" t="n">
        <v>46222</v>
      </c>
      <c r="F632" t="inlineStr">
        <is>
          <t>BLEKINGE LÄN</t>
        </is>
      </c>
      <c r="G632" t="inlineStr">
        <is>
          <t>KARLSKRONA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19150-2022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44691</v>
      </c>
      <c r="E633" s="1" t="n">
        <v>46222</v>
      </c>
      <c r="F633" t="inlineStr">
        <is>
          <t>BLEKINGE LÄN</t>
        </is>
      </c>
      <c r="G633" t="inlineStr">
        <is>
          <t>KARLSKRONA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29059-2026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46199</v>
      </c>
      <c r="E634" s="1" t="n">
        <v>46222</v>
      </c>
      <c r="F634" t="inlineStr">
        <is>
          <t>BLEKINGE LÄN</t>
        </is>
      </c>
      <c r="G634" t="inlineStr">
        <is>
          <t>KARLSKRONA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23098-2023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45075</v>
      </c>
      <c r="E635" s="1" t="n">
        <v>46222</v>
      </c>
      <c r="F635" t="inlineStr">
        <is>
          <t>BLEKINGE LÄN</t>
        </is>
      </c>
      <c r="G635" t="inlineStr">
        <is>
          <t>KARLSKRONA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7194-2026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46222</v>
      </c>
      <c r="F636" t="inlineStr">
        <is>
          <t>BLEKINGE LÄN</t>
        </is>
      </c>
      <c r="G636" t="inlineStr">
        <is>
          <t>KARLSKRONA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45832-2024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45579</v>
      </c>
      <c r="E637" s="1" t="n">
        <v>46222</v>
      </c>
      <c r="F637" t="inlineStr">
        <is>
          <t>BLEKINGE LÄN</t>
        </is>
      </c>
      <c r="G637" t="inlineStr">
        <is>
          <t>KARLSKRONA</t>
        </is>
      </c>
      <c r="I637" t="n">
        <v>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26603-2025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45809</v>
      </c>
      <c r="E638" s="1" t="n">
        <v>46222</v>
      </c>
      <c r="F638" t="inlineStr">
        <is>
          <t>BLEKINGE LÄN</t>
        </is>
      </c>
      <c r="G638" t="inlineStr">
        <is>
          <t>KARLSKRONA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22796-2026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46158</v>
      </c>
      <c r="E639" s="1" t="n">
        <v>46222</v>
      </c>
      <c r="F639" t="inlineStr">
        <is>
          <t>BLEKINGE LÄN</t>
        </is>
      </c>
      <c r="G639" t="inlineStr">
        <is>
          <t>KARLSKRONA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22799-2026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46158</v>
      </c>
      <c r="E640" s="1" t="n">
        <v>46222</v>
      </c>
      <c r="F640" t="inlineStr">
        <is>
          <t>BLEKINGE LÄN</t>
        </is>
      </c>
      <c r="G640" t="inlineStr">
        <is>
          <t>KARLSKRONA</t>
        </is>
      </c>
      <c r="I640" t="n">
        <v>5.8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13194-2023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45002</v>
      </c>
      <c r="E641" s="1" t="n">
        <v>46222</v>
      </c>
      <c r="F641" t="inlineStr">
        <is>
          <t>BLEKINGE LÄN</t>
        </is>
      </c>
      <c r="G641" t="inlineStr">
        <is>
          <t>KARLSKRONA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40324-2023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45169</v>
      </c>
      <c r="E642" s="1" t="n">
        <v>46222</v>
      </c>
      <c r="F642" t="inlineStr">
        <is>
          <t>BLEKINGE LÄN</t>
        </is>
      </c>
      <c r="G642" t="inlineStr">
        <is>
          <t>KARLSKRONA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18192-2026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46125</v>
      </c>
      <c r="E643" s="1" t="n">
        <v>46222</v>
      </c>
      <c r="F643" t="inlineStr">
        <is>
          <t>BLEKINGE LÄN</t>
        </is>
      </c>
      <c r="G643" t="inlineStr">
        <is>
          <t>KARLSKRONA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22798-2026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46158</v>
      </c>
      <c r="E644" s="1" t="n">
        <v>46222</v>
      </c>
      <c r="F644" t="inlineStr">
        <is>
          <t>BLEKINGE LÄN</t>
        </is>
      </c>
      <c r="G644" t="inlineStr">
        <is>
          <t>KARLSKRONA</t>
        </is>
      </c>
      <c r="I644" t="n">
        <v>7.5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22801-2026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46158</v>
      </c>
      <c r="E645" s="1" t="n">
        <v>46222</v>
      </c>
      <c r="F645" t="inlineStr">
        <is>
          <t>BLEKINGE LÄN</t>
        </is>
      </c>
      <c r="G645" t="inlineStr">
        <is>
          <t>KARLSKRONA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22802-2026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46158</v>
      </c>
      <c r="E646" s="1" t="n">
        <v>46222</v>
      </c>
      <c r="F646" t="inlineStr">
        <is>
          <t>BLEKINGE LÄN</t>
        </is>
      </c>
      <c r="G646" t="inlineStr">
        <is>
          <t>KARLSKRONA</t>
        </is>
      </c>
      <c r="I646" t="n">
        <v>4.3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38619-2023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45162</v>
      </c>
      <c r="E647" s="1" t="n">
        <v>46222</v>
      </c>
      <c r="F647" t="inlineStr">
        <is>
          <t>BLEKINGE LÄN</t>
        </is>
      </c>
      <c r="G647" t="inlineStr">
        <is>
          <t>KARLSKRONA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27267-2022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44741</v>
      </c>
      <c r="E648" s="1" t="n">
        <v>46222</v>
      </c>
      <c r="F648" t="inlineStr">
        <is>
          <t>BLEKINGE LÄN</t>
        </is>
      </c>
      <c r="G648" t="inlineStr">
        <is>
          <t>KARLSKRONA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1601-2023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44937</v>
      </c>
      <c r="E649" s="1" t="n">
        <v>46222</v>
      </c>
      <c r="F649" t="inlineStr">
        <is>
          <t>BLEKINGE LÄN</t>
        </is>
      </c>
      <c r="G649" t="inlineStr">
        <is>
          <t>KARLSKRONA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29027-2026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46199</v>
      </c>
      <c r="E650" s="1" t="n">
        <v>46222</v>
      </c>
      <c r="F650" t="inlineStr">
        <is>
          <t>BLEKINGE LÄN</t>
        </is>
      </c>
      <c r="G650" t="inlineStr">
        <is>
          <t>KARLSKRONA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6470-2025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45699</v>
      </c>
      <c r="E651" s="1" t="n">
        <v>46222</v>
      </c>
      <c r="F651" t="inlineStr">
        <is>
          <t>BLEKINGE LÄN</t>
        </is>
      </c>
      <c r="G651" t="inlineStr">
        <is>
          <t>KARLSKRONA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2721-2026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46037</v>
      </c>
      <c r="E652" s="1" t="n">
        <v>46222</v>
      </c>
      <c r="F652" t="inlineStr">
        <is>
          <t>BLEKINGE LÄN</t>
        </is>
      </c>
      <c r="G652" t="inlineStr">
        <is>
          <t>KARLSKRONA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50546-2023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45217</v>
      </c>
      <c r="E653" s="1" t="n">
        <v>46222</v>
      </c>
      <c r="F653" t="inlineStr">
        <is>
          <t>BLEKINGE LÄN</t>
        </is>
      </c>
      <c r="G653" t="inlineStr">
        <is>
          <t>KARLSKRONA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2692-2022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44580</v>
      </c>
      <c r="E654" s="1" t="n">
        <v>46222</v>
      </c>
      <c r="F654" t="inlineStr">
        <is>
          <t>BLEKINGE LÄN</t>
        </is>
      </c>
      <c r="G654" t="inlineStr">
        <is>
          <t>KARLSKRONA</t>
        </is>
      </c>
      <c r="I654" t="n">
        <v>1.5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39273-2023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45166</v>
      </c>
      <c r="E655" s="1" t="n">
        <v>46222</v>
      </c>
      <c r="F655" t="inlineStr">
        <is>
          <t>BLEKINGE LÄN</t>
        </is>
      </c>
      <c r="G655" t="inlineStr">
        <is>
          <t>KARLSKRONA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60071-2022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44909</v>
      </c>
      <c r="E656" s="1" t="n">
        <v>46222</v>
      </c>
      <c r="F656" t="inlineStr">
        <is>
          <t>BLEKINGE LÄN</t>
        </is>
      </c>
      <c r="G656" t="inlineStr">
        <is>
          <t>KARLSKRONA</t>
        </is>
      </c>
      <c r="I656" t="n">
        <v>2.8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17627-2023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45035</v>
      </c>
      <c r="E657" s="1" t="n">
        <v>46222</v>
      </c>
      <c r="F657" t="inlineStr">
        <is>
          <t>BLEKINGE LÄN</t>
        </is>
      </c>
      <c r="G657" t="inlineStr">
        <is>
          <t>KARLSKRONA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14554-2023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45013</v>
      </c>
      <c r="E658" s="1" t="n">
        <v>46222</v>
      </c>
      <c r="F658" t="inlineStr">
        <is>
          <t>BLEKINGE LÄN</t>
        </is>
      </c>
      <c r="G658" t="inlineStr">
        <is>
          <t>KARLSKRONA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14557-2023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45013</v>
      </c>
      <c r="E659" s="1" t="n">
        <v>46222</v>
      </c>
      <c r="F659" t="inlineStr">
        <is>
          <t>BLEKINGE LÄN</t>
        </is>
      </c>
      <c r="G659" t="inlineStr">
        <is>
          <t>KARLSKRONA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52696-2023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45225</v>
      </c>
      <c r="E660" s="1" t="n">
        <v>46222</v>
      </c>
      <c r="F660" t="inlineStr">
        <is>
          <t>BLEKINGE LÄN</t>
        </is>
      </c>
      <c r="G660" t="inlineStr">
        <is>
          <t>KARLSKRONA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23376-2026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46162</v>
      </c>
      <c r="E661" s="1" t="n">
        <v>46222</v>
      </c>
      <c r="F661" t="inlineStr">
        <is>
          <t>BLEKINGE LÄN</t>
        </is>
      </c>
      <c r="G661" t="inlineStr">
        <is>
          <t>KARLSKRONA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23237-2026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46162</v>
      </c>
      <c r="E662" s="1" t="n">
        <v>46222</v>
      </c>
      <c r="F662" t="inlineStr">
        <is>
          <t>BLEKINGE LÄN</t>
        </is>
      </c>
      <c r="G662" t="inlineStr">
        <is>
          <t>KARLSKRONA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23250-2026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46162</v>
      </c>
      <c r="E663" s="1" t="n">
        <v>46222</v>
      </c>
      <c r="F663" t="inlineStr">
        <is>
          <t>BLEKINGE LÄN</t>
        </is>
      </c>
      <c r="G663" t="inlineStr">
        <is>
          <t>KARLSKRONA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690-2023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44930</v>
      </c>
      <c r="E664" s="1" t="n">
        <v>46222</v>
      </c>
      <c r="F664" t="inlineStr">
        <is>
          <t>BLEKINGE LÄN</t>
        </is>
      </c>
      <c r="G664" t="inlineStr">
        <is>
          <t>KARLSKRONA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43444-2024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45568</v>
      </c>
      <c r="E665" s="1" t="n">
        <v>46222</v>
      </c>
      <c r="F665" t="inlineStr">
        <is>
          <t>BLEKINGE LÄN</t>
        </is>
      </c>
      <c r="G665" t="inlineStr">
        <is>
          <t>KARLSKRONA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35464-2024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45531</v>
      </c>
      <c r="E666" s="1" t="n">
        <v>46222</v>
      </c>
      <c r="F666" t="inlineStr">
        <is>
          <t>BLEKINGE LÄN</t>
        </is>
      </c>
      <c r="G666" t="inlineStr">
        <is>
          <t>KARLSKRONA</t>
        </is>
      </c>
      <c r="I666" t="n">
        <v>7.8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5458-2023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44960</v>
      </c>
      <c r="E667" s="1" t="n">
        <v>46222</v>
      </c>
      <c r="F667" t="inlineStr">
        <is>
          <t>BLEKINGE LÄN</t>
        </is>
      </c>
      <c r="G667" t="inlineStr">
        <is>
          <t>KARLSKRONA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22147-2023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45069</v>
      </c>
      <c r="E668" s="1" t="n">
        <v>46222</v>
      </c>
      <c r="F668" t="inlineStr">
        <is>
          <t>BLEKINGE LÄN</t>
        </is>
      </c>
      <c r="G668" t="inlineStr">
        <is>
          <t>KARLSKRONA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45990-2021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44441</v>
      </c>
      <c r="E669" s="1" t="n">
        <v>46222</v>
      </c>
      <c r="F669" t="inlineStr">
        <is>
          <t>BLEKINGE LÄN</t>
        </is>
      </c>
      <c r="G669" t="inlineStr">
        <is>
          <t>KARLSKRONA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43606-2022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44837</v>
      </c>
      <c r="E670" s="1" t="n">
        <v>46222</v>
      </c>
      <c r="F670" t="inlineStr">
        <is>
          <t>BLEKINGE LÄN</t>
        </is>
      </c>
      <c r="G670" t="inlineStr">
        <is>
          <t>KARLSKRONA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46035-2024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45580</v>
      </c>
      <c r="E671" s="1" t="n">
        <v>46222</v>
      </c>
      <c r="F671" t="inlineStr">
        <is>
          <t>BLEKINGE LÄN</t>
        </is>
      </c>
      <c r="G671" t="inlineStr">
        <is>
          <t>KARLSKRONA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31296-2023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45104</v>
      </c>
      <c r="E672" s="1" t="n">
        <v>46222</v>
      </c>
      <c r="F672" t="inlineStr">
        <is>
          <t>BLEKINGE LÄN</t>
        </is>
      </c>
      <c r="G672" t="inlineStr">
        <is>
          <t>KARLSKRONA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2711-2023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44942</v>
      </c>
      <c r="E673" s="1" t="n">
        <v>46222</v>
      </c>
      <c r="F673" t="inlineStr">
        <is>
          <t>BLEKINGE LÄN</t>
        </is>
      </c>
      <c r="G673" t="inlineStr">
        <is>
          <t>KARLSKRONA</t>
        </is>
      </c>
      <c r="I673" t="n">
        <v>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23726-2026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46164</v>
      </c>
      <c r="E674" s="1" t="n">
        <v>46222</v>
      </c>
      <c r="F674" t="inlineStr">
        <is>
          <t>BLEKINGE LÄN</t>
        </is>
      </c>
      <c r="G674" t="inlineStr">
        <is>
          <t>KARLSKRONA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19645-2023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45051</v>
      </c>
      <c r="E675" s="1" t="n">
        <v>46222</v>
      </c>
      <c r="F675" t="inlineStr">
        <is>
          <t>BLEKINGE LÄN</t>
        </is>
      </c>
      <c r="G675" t="inlineStr">
        <is>
          <t>KARLSKRONA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4919-2022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44593</v>
      </c>
      <c r="E676" s="1" t="n">
        <v>46222</v>
      </c>
      <c r="F676" t="inlineStr">
        <is>
          <t>BLEKINGE LÄN</t>
        </is>
      </c>
      <c r="G676" t="inlineStr">
        <is>
          <t>KARLSKRONA</t>
        </is>
      </c>
      <c r="I676" t="n">
        <v>2.4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36966-2023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45154</v>
      </c>
      <c r="E677" s="1" t="n">
        <v>46222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52821-2022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44875</v>
      </c>
      <c r="E678" s="1" t="n">
        <v>46222</v>
      </c>
      <c r="F678" t="inlineStr">
        <is>
          <t>BLEKINGE LÄN</t>
        </is>
      </c>
      <c r="G678" t="inlineStr">
        <is>
          <t>KARLSKRONA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60901-2022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44914</v>
      </c>
      <c r="E679" s="1" t="n">
        <v>46222</v>
      </c>
      <c r="F679" t="inlineStr">
        <is>
          <t>BLEKINGE LÄN</t>
        </is>
      </c>
      <c r="G679" t="inlineStr">
        <is>
          <t>KARLSKRONA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29352-2023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45106</v>
      </c>
      <c r="E680" s="1" t="n">
        <v>46222</v>
      </c>
      <c r="F680" t="inlineStr">
        <is>
          <t>BLEKINGE LÄN</t>
        </is>
      </c>
      <c r="G680" t="inlineStr">
        <is>
          <t>KARLSKRONA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23687-2026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46164</v>
      </c>
      <c r="E681" s="1" t="n">
        <v>46222</v>
      </c>
      <c r="F681" t="inlineStr">
        <is>
          <t>BLEKINGE LÄN</t>
        </is>
      </c>
      <c r="G681" t="inlineStr">
        <is>
          <t>KARLSKRONA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23693-2026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46164</v>
      </c>
      <c r="E682" s="1" t="n">
        <v>46222</v>
      </c>
      <c r="F682" t="inlineStr">
        <is>
          <t>BLEKINGE LÄN</t>
        </is>
      </c>
      <c r="G682" t="inlineStr">
        <is>
          <t>KARLSKRONA</t>
        </is>
      </c>
      <c r="I682" t="n">
        <v>3.5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23683-2026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46164</v>
      </c>
      <c r="E683" s="1" t="n">
        <v>46222</v>
      </c>
      <c r="F683" t="inlineStr">
        <is>
          <t>BLEKINGE LÄN</t>
        </is>
      </c>
      <c r="G683" t="inlineStr">
        <is>
          <t>KARLSKRONA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30120-2026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46206</v>
      </c>
      <c r="E684" s="1" t="n">
        <v>46222</v>
      </c>
      <c r="F684" t="inlineStr">
        <is>
          <t>BLEKINGE LÄN</t>
        </is>
      </c>
      <c r="G684" t="inlineStr">
        <is>
          <t>KARLSKRONA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53733-2024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45615</v>
      </c>
      <c r="E685" s="1" t="n">
        <v>46222</v>
      </c>
      <c r="F685" t="inlineStr">
        <is>
          <t>BLEKINGE LÄN</t>
        </is>
      </c>
      <c r="G685" t="inlineStr">
        <is>
          <t>KARLSKRONA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23501-2026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46222</v>
      </c>
      <c r="F686" t="inlineStr">
        <is>
          <t>BLEKINGE LÄN</t>
        </is>
      </c>
      <c r="G686" t="inlineStr">
        <is>
          <t>KARLSKRONA</t>
        </is>
      </c>
      <c r="I686" t="n">
        <v>2.8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36731-2024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45537</v>
      </c>
      <c r="E687" s="1" t="n">
        <v>46222</v>
      </c>
      <c r="F687" t="inlineStr">
        <is>
          <t>BLEKINGE LÄN</t>
        </is>
      </c>
      <c r="G687" t="inlineStr">
        <is>
          <t>KARLSKRONA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58059-2022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44900</v>
      </c>
      <c r="E688" s="1" t="n">
        <v>46222</v>
      </c>
      <c r="F688" t="inlineStr">
        <is>
          <t>BLEKINGE LÄN</t>
        </is>
      </c>
      <c r="G688" t="inlineStr">
        <is>
          <t>KARLSKRONA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45908-2023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45195</v>
      </c>
      <c r="E689" s="1" t="n">
        <v>46222</v>
      </c>
      <c r="F689" t="inlineStr">
        <is>
          <t>BLEKINGE LÄN</t>
        </is>
      </c>
      <c r="G689" t="inlineStr">
        <is>
          <t>KARLSKRONA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12248-2023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44998</v>
      </c>
      <c r="E690" s="1" t="n">
        <v>46222</v>
      </c>
      <c r="F690" t="inlineStr">
        <is>
          <t>BLEKINGE LÄN</t>
        </is>
      </c>
      <c r="G690" t="inlineStr">
        <is>
          <t>KARLSKRONA</t>
        </is>
      </c>
      <c r="I690" t="n">
        <v>10.5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4205-2024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45324</v>
      </c>
      <c r="E691" s="1" t="n">
        <v>46222</v>
      </c>
      <c r="F691" t="inlineStr">
        <is>
          <t>BLEKINGE LÄN</t>
        </is>
      </c>
      <c r="G691" t="inlineStr">
        <is>
          <t>KARLSKRONA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4793-2022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44592</v>
      </c>
      <c r="E692" s="1" t="n">
        <v>46222</v>
      </c>
      <c r="F692" t="inlineStr">
        <is>
          <t>BLEKINGE LÄN</t>
        </is>
      </c>
      <c r="G692" t="inlineStr">
        <is>
          <t>KARLSKRONA</t>
        </is>
      </c>
      <c r="H692" t="inlineStr">
        <is>
          <t>Kommuner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14415-2023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45012</v>
      </c>
      <c r="E693" s="1" t="n">
        <v>46222</v>
      </c>
      <c r="F693" t="inlineStr">
        <is>
          <t>BLEKINGE LÄN</t>
        </is>
      </c>
      <c r="G693" t="inlineStr">
        <is>
          <t>KARLSKRONA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30134-2026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46206</v>
      </c>
      <c r="E694" s="1" t="n">
        <v>46222</v>
      </c>
      <c r="F694" t="inlineStr">
        <is>
          <t>BLEKINGE LÄN</t>
        </is>
      </c>
      <c r="G694" t="inlineStr">
        <is>
          <t>KARLSKRONA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23927-2026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46167</v>
      </c>
      <c r="E695" s="1" t="n">
        <v>46222</v>
      </c>
      <c r="F695" t="inlineStr">
        <is>
          <t>BLEKINGE LÄN</t>
        </is>
      </c>
      <c r="G695" t="inlineStr">
        <is>
          <t>KARLSKRONA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39391-2023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45166</v>
      </c>
      <c r="E696" s="1" t="n">
        <v>46222</v>
      </c>
      <c r="F696" t="inlineStr">
        <is>
          <t>BLEKINGE LÄN</t>
        </is>
      </c>
      <c r="G696" t="inlineStr">
        <is>
          <t>KARLSKRONA</t>
        </is>
      </c>
      <c r="I696" t="n">
        <v>11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24948-2023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45085</v>
      </c>
      <c r="E697" s="1" t="n">
        <v>46222</v>
      </c>
      <c r="F697" t="inlineStr">
        <is>
          <t>BLEKINGE LÄN</t>
        </is>
      </c>
      <c r="G697" t="inlineStr">
        <is>
          <t>KARLSKRONA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27277-2026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46188</v>
      </c>
      <c r="E698" s="1" t="n">
        <v>46222</v>
      </c>
      <c r="F698" t="inlineStr">
        <is>
          <t>BLEKINGE LÄN</t>
        </is>
      </c>
      <c r="G698" t="inlineStr">
        <is>
          <t>KARLSKRONA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6509-2024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45340</v>
      </c>
      <c r="E699" s="1" t="n">
        <v>46222</v>
      </c>
      <c r="F699" t="inlineStr">
        <is>
          <t>BLEKINGE LÄN</t>
        </is>
      </c>
      <c r="G699" t="inlineStr">
        <is>
          <t>KARLSKRONA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37627-2023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45159</v>
      </c>
      <c r="E700" s="1" t="n">
        <v>46222</v>
      </c>
      <c r="F700" t="inlineStr">
        <is>
          <t>BLEKINGE LÄN</t>
        </is>
      </c>
      <c r="G700" t="inlineStr">
        <is>
          <t>KARLSKRONA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19108-2023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45048</v>
      </c>
      <c r="E701" s="1" t="n">
        <v>46222</v>
      </c>
      <c r="F701" t="inlineStr">
        <is>
          <t>BLEKINGE LÄN</t>
        </is>
      </c>
      <c r="G701" t="inlineStr">
        <is>
          <t>KARLSKRONA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24375-2026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46222</v>
      </c>
      <c r="F702" t="inlineStr">
        <is>
          <t>BLEKINGE LÄN</t>
        </is>
      </c>
      <c r="G702" t="inlineStr">
        <is>
          <t>KARLSKRONA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24382-2026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46169</v>
      </c>
      <c r="E703" s="1" t="n">
        <v>46222</v>
      </c>
      <c r="F703" t="inlineStr">
        <is>
          <t>BLEKINGE LÄN</t>
        </is>
      </c>
      <c r="G703" t="inlineStr">
        <is>
          <t>KARLSKRONA</t>
        </is>
      </c>
      <c r="H703" t="inlineStr">
        <is>
          <t>Övriga statliga verk och myndigheter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58804-2022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44903</v>
      </c>
      <c r="E704" s="1" t="n">
        <v>46222</v>
      </c>
      <c r="F704" t="inlineStr">
        <is>
          <t>BLEKINGE LÄN</t>
        </is>
      </c>
      <c r="G704" t="inlineStr">
        <is>
          <t>KARLSKRONA</t>
        </is>
      </c>
      <c r="I704" t="n">
        <v>7.7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11024-2024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45370</v>
      </c>
      <c r="E705" s="1" t="n">
        <v>46222</v>
      </c>
      <c r="F705" t="inlineStr">
        <is>
          <t>BLEKINGE LÄN</t>
        </is>
      </c>
      <c r="G705" t="inlineStr">
        <is>
          <t>KARLSKRONA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2414-2025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45674</v>
      </c>
      <c r="E706" s="1" t="n">
        <v>46222</v>
      </c>
      <c r="F706" t="inlineStr">
        <is>
          <t>BLEKINGE LÄN</t>
        </is>
      </c>
      <c r="G706" t="inlineStr">
        <is>
          <t>KARLSKRONA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23707-2024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45454</v>
      </c>
      <c r="E707" s="1" t="n">
        <v>46222</v>
      </c>
      <c r="F707" t="inlineStr">
        <is>
          <t>BLEKINGE LÄN</t>
        </is>
      </c>
      <c r="G707" t="inlineStr">
        <is>
          <t>KARLSKRONA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10980-2023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44991</v>
      </c>
      <c r="E708" s="1" t="n">
        <v>46222</v>
      </c>
      <c r="F708" t="inlineStr">
        <is>
          <t>BLEKINGE LÄN</t>
        </is>
      </c>
      <c r="G708" t="inlineStr">
        <is>
          <t>KARLSKRONA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16288-2023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45028</v>
      </c>
      <c r="E709" s="1" t="n">
        <v>46222</v>
      </c>
      <c r="F709" t="inlineStr">
        <is>
          <t>BLEKINGE LÄN</t>
        </is>
      </c>
      <c r="G709" t="inlineStr">
        <is>
          <t>KARLSKRONA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39537-2024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45551</v>
      </c>
      <c r="E710" s="1" t="n">
        <v>46222</v>
      </c>
      <c r="F710" t="inlineStr">
        <is>
          <t>BLEKINGE LÄN</t>
        </is>
      </c>
      <c r="G710" t="inlineStr">
        <is>
          <t>KARLSKRONA</t>
        </is>
      </c>
      <c r="I710" t="n">
        <v>1.3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40082-2023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45168</v>
      </c>
      <c r="E711" s="1" t="n">
        <v>46222</v>
      </c>
      <c r="F711" t="inlineStr">
        <is>
          <t>BLEKINGE LÄN</t>
        </is>
      </c>
      <c r="G711" t="inlineStr">
        <is>
          <t>KARLSKRONA</t>
        </is>
      </c>
      <c r="I711" t="n">
        <v>1.6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2133-2025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45672</v>
      </c>
      <c r="E712" s="1" t="n">
        <v>46222</v>
      </c>
      <c r="F712" t="inlineStr">
        <is>
          <t>BLEKINGE LÄN</t>
        </is>
      </c>
      <c r="G712" t="inlineStr">
        <is>
          <t>KARLSKRONA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36577-2024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45537</v>
      </c>
      <c r="E713" s="1" t="n">
        <v>46222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59884-2023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45254</v>
      </c>
      <c r="E714" s="1" t="n">
        <v>46222</v>
      </c>
      <c r="F714" t="inlineStr">
        <is>
          <t>BLEKINGE LÄN</t>
        </is>
      </c>
      <c r="G714" t="inlineStr">
        <is>
          <t>KARLSKRONA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9153-2026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46070</v>
      </c>
      <c r="E715" s="1" t="n">
        <v>46222</v>
      </c>
      <c r="F715" t="inlineStr">
        <is>
          <t>BLEKINGE LÄN</t>
        </is>
      </c>
      <c r="G715" t="inlineStr">
        <is>
          <t>KARLSKRONA</t>
        </is>
      </c>
      <c r="I715" t="n">
        <v>4.8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42074-2023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45174</v>
      </c>
      <c r="E716" s="1" t="n">
        <v>46222</v>
      </c>
      <c r="F716" t="inlineStr">
        <is>
          <t>BLEKINGE LÄN</t>
        </is>
      </c>
      <c r="G716" t="inlineStr">
        <is>
          <t>KARLSKRONA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25648-2026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46177</v>
      </c>
      <c r="E717" s="1" t="n">
        <v>46222</v>
      </c>
      <c r="F717" t="inlineStr">
        <is>
          <t>BLEKINGE LÄN</t>
        </is>
      </c>
      <c r="G717" t="inlineStr">
        <is>
          <t>KARLSKRONA</t>
        </is>
      </c>
      <c r="I717" t="n">
        <v>9.5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25650-2026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46177</v>
      </c>
      <c r="E718" s="1" t="n">
        <v>46222</v>
      </c>
      <c r="F718" t="inlineStr">
        <is>
          <t>BLEKINGE LÄN</t>
        </is>
      </c>
      <c r="G718" t="inlineStr">
        <is>
          <t>KARLSKRONA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664-2025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45662</v>
      </c>
      <c r="E719" s="1" t="n">
        <v>46222</v>
      </c>
      <c r="F719" t="inlineStr">
        <is>
          <t>BLEKINGE LÄN</t>
        </is>
      </c>
      <c r="G719" t="inlineStr">
        <is>
          <t>KARLSKRONA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25652-2026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46177</v>
      </c>
      <c r="E720" s="1" t="n">
        <v>46222</v>
      </c>
      <c r="F720" t="inlineStr">
        <is>
          <t>BLEKINGE LÄN</t>
        </is>
      </c>
      <c r="G720" t="inlineStr">
        <is>
          <t>KARLSKRONA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25312-2026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46176</v>
      </c>
      <c r="E721" s="1" t="n">
        <v>46222</v>
      </c>
      <c r="F721" t="inlineStr">
        <is>
          <t>BLEKINGE LÄN</t>
        </is>
      </c>
      <c r="G721" t="inlineStr">
        <is>
          <t>KARLSKRONA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58727-2023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45251</v>
      </c>
      <c r="E722" s="1" t="n">
        <v>46222</v>
      </c>
      <c r="F722" t="inlineStr">
        <is>
          <t>BLEKINGE LÄN</t>
        </is>
      </c>
      <c r="G722" t="inlineStr">
        <is>
          <t>KARLSKRONA</t>
        </is>
      </c>
      <c r="I722" t="n">
        <v>0.4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42861-2023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45182</v>
      </c>
      <c r="E723" s="1" t="n">
        <v>46222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51934-2023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45223</v>
      </c>
      <c r="E724" s="1" t="n">
        <v>46222</v>
      </c>
      <c r="F724" t="inlineStr">
        <is>
          <t>BLEKINGE LÄN</t>
        </is>
      </c>
      <c r="G724" t="inlineStr">
        <is>
          <t>KARLSKRONA</t>
        </is>
      </c>
      <c r="I724" t="n">
        <v>1.9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25434-2026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46177</v>
      </c>
      <c r="E725" s="1" t="n">
        <v>46222</v>
      </c>
      <c r="F725" t="inlineStr">
        <is>
          <t>BLEKINGE LÄN</t>
        </is>
      </c>
      <c r="G725" t="inlineStr">
        <is>
          <t>KARLSKRONA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25435-2026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46177</v>
      </c>
      <c r="E726" s="1" t="n">
        <v>46222</v>
      </c>
      <c r="F726" t="inlineStr">
        <is>
          <t>BLEKINGE LÄN</t>
        </is>
      </c>
      <c r="G726" t="inlineStr">
        <is>
          <t>KARLSKRONA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25309-2026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46176</v>
      </c>
      <c r="E727" s="1" t="n">
        <v>46222</v>
      </c>
      <c r="F727" t="inlineStr">
        <is>
          <t>BLEKINGE LÄN</t>
        </is>
      </c>
      <c r="G727" t="inlineStr">
        <is>
          <t>KARLSKRONA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27024-2023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45094</v>
      </c>
      <c r="E728" s="1" t="n">
        <v>46222</v>
      </c>
      <c r="F728" t="inlineStr">
        <is>
          <t>BLEKINGE LÄN</t>
        </is>
      </c>
      <c r="G728" t="inlineStr">
        <is>
          <t>KARLSKRONA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16316-2026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46111</v>
      </c>
      <c r="E729" s="1" t="n">
        <v>46222</v>
      </c>
      <c r="F729" t="inlineStr">
        <is>
          <t>BLEKINGE LÄN</t>
        </is>
      </c>
      <c r="G729" t="inlineStr">
        <is>
          <t>KARLSKRONA</t>
        </is>
      </c>
      <c r="I729" t="n">
        <v>1.9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49736-2023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45212</v>
      </c>
      <c r="E730" s="1" t="n">
        <v>46222</v>
      </c>
      <c r="F730" t="inlineStr">
        <is>
          <t>BLEKINGE LÄN</t>
        </is>
      </c>
      <c r="G730" t="inlineStr">
        <is>
          <t>KARLSKRONA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54956-2024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45619</v>
      </c>
      <c r="E731" s="1" t="n">
        <v>46222</v>
      </c>
      <c r="F731" t="inlineStr">
        <is>
          <t>BLEKINGE LÄN</t>
        </is>
      </c>
      <c r="G731" t="inlineStr">
        <is>
          <t>KARLSKRONA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7994-2025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45707</v>
      </c>
      <c r="E732" s="1" t="n">
        <v>46222</v>
      </c>
      <c r="F732" t="inlineStr">
        <is>
          <t>BLEKINGE LÄN</t>
        </is>
      </c>
      <c r="G732" t="inlineStr">
        <is>
          <t>KARLSKRONA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22096-2024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45443</v>
      </c>
      <c r="E733" s="1" t="n">
        <v>46222</v>
      </c>
      <c r="F733" t="inlineStr">
        <is>
          <t>BLEKINGE LÄN</t>
        </is>
      </c>
      <c r="G733" t="inlineStr">
        <is>
          <t>KARLSKRONA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4698-2024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45328</v>
      </c>
      <c r="E734" s="1" t="n">
        <v>46222</v>
      </c>
      <c r="F734" t="inlineStr">
        <is>
          <t>BLEKINGE LÄN</t>
        </is>
      </c>
      <c r="G734" t="inlineStr">
        <is>
          <t>KARLSKRONA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17092-2023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45034</v>
      </c>
      <c r="E735" s="1" t="n">
        <v>46222</v>
      </c>
      <c r="F735" t="inlineStr">
        <is>
          <t>BLEKINGE LÄN</t>
        </is>
      </c>
      <c r="G735" t="inlineStr">
        <is>
          <t>KARLSKRONA</t>
        </is>
      </c>
      <c r="I735" t="n">
        <v>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50966-2023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45218</v>
      </c>
      <c r="E736" s="1" t="n">
        <v>46222</v>
      </c>
      <c r="F736" t="inlineStr">
        <is>
          <t>BLEKINGE LÄN</t>
        </is>
      </c>
      <c r="G736" t="inlineStr">
        <is>
          <t>KARLSKRONA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14355-2024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45393</v>
      </c>
      <c r="E737" s="1" t="n">
        <v>46222</v>
      </c>
      <c r="F737" t="inlineStr">
        <is>
          <t>BLEKINGE LÄN</t>
        </is>
      </c>
      <c r="G737" t="inlineStr">
        <is>
          <t>KARLSKRONA</t>
        </is>
      </c>
      <c r="I737" t="n">
        <v>12.6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36964-2023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45154</v>
      </c>
      <c r="E738" s="1" t="n">
        <v>46222</v>
      </c>
      <c r="F738" t="inlineStr">
        <is>
          <t>BLEKINGE LÄN</t>
        </is>
      </c>
      <c r="G738" t="inlineStr">
        <is>
          <t>KARLSKRONA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72273-2021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44545</v>
      </c>
      <c r="E739" s="1" t="n">
        <v>46222</v>
      </c>
      <c r="F739" t="inlineStr">
        <is>
          <t>BLEKINGE LÄN</t>
        </is>
      </c>
      <c r="G739" t="inlineStr">
        <is>
          <t>KARLSKRONA</t>
        </is>
      </c>
      <c r="I739" t="n">
        <v>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29365-2023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45106</v>
      </c>
      <c r="E740" s="1" t="n">
        <v>46222</v>
      </c>
      <c r="F740" t="inlineStr">
        <is>
          <t>BLEKINGE LÄN</t>
        </is>
      </c>
      <c r="G740" t="inlineStr">
        <is>
          <t>KARLSKRONA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24931-2023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45085</v>
      </c>
      <c r="E741" s="1" t="n">
        <v>46222</v>
      </c>
      <c r="F741" t="inlineStr">
        <is>
          <t>BLEKINGE LÄN</t>
        </is>
      </c>
      <c r="G741" t="inlineStr">
        <is>
          <t>KARLSKRONA</t>
        </is>
      </c>
      <c r="I741" t="n">
        <v>10.9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24946-2023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45085</v>
      </c>
      <c r="E742" s="1" t="n">
        <v>46222</v>
      </c>
      <c r="F742" t="inlineStr">
        <is>
          <t>BLEKINGE LÄN</t>
        </is>
      </c>
      <c r="G742" t="inlineStr">
        <is>
          <t>KARLSKRONA</t>
        </is>
      </c>
      <c r="I742" t="n">
        <v>6.2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24482-2023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45082</v>
      </c>
      <c r="E743" s="1" t="n">
        <v>46222</v>
      </c>
      <c r="F743" t="inlineStr">
        <is>
          <t>BLEKINGE LÄN</t>
        </is>
      </c>
      <c r="G743" t="inlineStr">
        <is>
          <t>KARLSKRONA</t>
        </is>
      </c>
      <c r="I743" t="n">
        <v>2.1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29373-2024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45483</v>
      </c>
      <c r="E744" s="1" t="n">
        <v>46222</v>
      </c>
      <c r="F744" t="inlineStr">
        <is>
          <t>BLEKINGE LÄN</t>
        </is>
      </c>
      <c r="G744" t="inlineStr">
        <is>
          <t>KARLSKRONA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26572-2023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45092</v>
      </c>
      <c r="E745" s="1" t="n">
        <v>46222</v>
      </c>
      <c r="F745" t="inlineStr">
        <is>
          <t>BLEKINGE LÄN</t>
        </is>
      </c>
      <c r="G745" t="inlineStr">
        <is>
          <t>KARLSKRONA</t>
        </is>
      </c>
      <c r="I745" t="n">
        <v>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33555-2023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45118</v>
      </c>
      <c r="E746" s="1" t="n">
        <v>46222</v>
      </c>
      <c r="F746" t="inlineStr">
        <is>
          <t>BLEKINGE LÄN</t>
        </is>
      </c>
      <c r="G746" t="inlineStr">
        <is>
          <t>KARLSKRONA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12944-2023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45001</v>
      </c>
      <c r="E747" s="1" t="n">
        <v>46222</v>
      </c>
      <c r="F747" t="inlineStr">
        <is>
          <t>BLEKINGE LÄN</t>
        </is>
      </c>
      <c r="G747" t="inlineStr">
        <is>
          <t>KARLSKRONA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43820-2024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45571</v>
      </c>
      <c r="E748" s="1" t="n">
        <v>46222</v>
      </c>
      <c r="F748" t="inlineStr">
        <is>
          <t>BLEKINGE LÄN</t>
        </is>
      </c>
      <c r="G748" t="inlineStr">
        <is>
          <t>KARLSKRONA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13781-2023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45007</v>
      </c>
      <c r="E749" s="1" t="n">
        <v>46222</v>
      </c>
      <c r="F749" t="inlineStr">
        <is>
          <t>BLEKINGE LÄN</t>
        </is>
      </c>
      <c r="G749" t="inlineStr">
        <is>
          <t>KARLSKRONA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11639-2025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45727</v>
      </c>
      <c r="E750" s="1" t="n">
        <v>46222</v>
      </c>
      <c r="F750" t="inlineStr">
        <is>
          <t>BLEKINGE LÄN</t>
        </is>
      </c>
      <c r="G750" t="inlineStr">
        <is>
          <t>KARLSKRONA</t>
        </is>
      </c>
      <c r="I750" t="n">
        <v>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11676-2025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45727</v>
      </c>
      <c r="E751" s="1" t="n">
        <v>46222</v>
      </c>
      <c r="F751" t="inlineStr">
        <is>
          <t>BLEKINGE LÄN</t>
        </is>
      </c>
      <c r="G751" t="inlineStr">
        <is>
          <t>KARLSKRONA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3011-2024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45315</v>
      </c>
      <c r="E752" s="1" t="n">
        <v>46222</v>
      </c>
      <c r="F752" t="inlineStr">
        <is>
          <t>BLEKINGE LÄN</t>
        </is>
      </c>
      <c r="G752" t="inlineStr">
        <is>
          <t>KARLSKRONA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57982-2024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45631</v>
      </c>
      <c r="E753" s="1" t="n">
        <v>46222</v>
      </c>
      <c r="F753" t="inlineStr">
        <is>
          <t>BLEKINGE LÄN</t>
        </is>
      </c>
      <c r="G753" t="inlineStr">
        <is>
          <t>KARLSKRONA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58159-2023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46222</v>
      </c>
      <c r="F754" t="inlineStr">
        <is>
          <t>BLEKINGE LÄN</t>
        </is>
      </c>
      <c r="G754" t="inlineStr">
        <is>
          <t>KARLSKRONA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6199-2025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45698</v>
      </c>
      <c r="E755" s="1" t="n">
        <v>46222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45573-2023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45194</v>
      </c>
      <c r="E756" s="1" t="n">
        <v>46222</v>
      </c>
      <c r="F756" t="inlineStr">
        <is>
          <t>BLEKINGE LÄN</t>
        </is>
      </c>
      <c r="G756" t="inlineStr">
        <is>
          <t>KARLSKRONA</t>
        </is>
      </c>
      <c r="I756" t="n">
        <v>3.8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5885-2025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45695</v>
      </c>
      <c r="E757" s="1" t="n">
        <v>46222</v>
      </c>
      <c r="F757" t="inlineStr">
        <is>
          <t>BLEKINGE LÄN</t>
        </is>
      </c>
      <c r="G757" t="inlineStr">
        <is>
          <t>KARLSKRONA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30657-2024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45495</v>
      </c>
      <c r="E758" s="1" t="n">
        <v>46222</v>
      </c>
      <c r="F758" t="inlineStr">
        <is>
          <t>BLEKINGE LÄN</t>
        </is>
      </c>
      <c r="G758" t="inlineStr">
        <is>
          <t>KARLSKRONA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50354-2024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45600</v>
      </c>
      <c r="E759" s="1" t="n">
        <v>46222</v>
      </c>
      <c r="F759" t="inlineStr">
        <is>
          <t>BLEKINGE LÄN</t>
        </is>
      </c>
      <c r="G759" t="inlineStr">
        <is>
          <t>KARLSKRONA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6852-2024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45342</v>
      </c>
      <c r="E760" s="1" t="n">
        <v>46222</v>
      </c>
      <c r="F760" t="inlineStr">
        <is>
          <t>BLEKINGE LÄN</t>
        </is>
      </c>
      <c r="G760" t="inlineStr">
        <is>
          <t>KARLSKRONA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39121-2023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45165</v>
      </c>
      <c r="E761" s="1" t="n">
        <v>46222</v>
      </c>
      <c r="F761" t="inlineStr">
        <is>
          <t>BLEKINGE LÄN</t>
        </is>
      </c>
      <c r="G761" t="inlineStr">
        <is>
          <t>KARLSKRONA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52701-2023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45225</v>
      </c>
      <c r="E762" s="1" t="n">
        <v>46222</v>
      </c>
      <c r="F762" t="inlineStr">
        <is>
          <t>BLEKINGE LÄN</t>
        </is>
      </c>
      <c r="G762" t="inlineStr">
        <is>
          <t>KARLSKRONA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23104-2023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45075</v>
      </c>
      <c r="E763" s="1" t="n">
        <v>46222</v>
      </c>
      <c r="F763" t="inlineStr">
        <is>
          <t>BLEKINGE LÄN</t>
        </is>
      </c>
      <c r="G763" t="inlineStr">
        <is>
          <t>KARLSKRONA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36807-2024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45538</v>
      </c>
      <c r="E764" s="1" t="n">
        <v>46222</v>
      </c>
      <c r="F764" t="inlineStr">
        <is>
          <t>BLEKINGE LÄN</t>
        </is>
      </c>
      <c r="G764" t="inlineStr">
        <is>
          <t>KARLSKRONA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51419-2024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45604</v>
      </c>
      <c r="E765" s="1" t="n">
        <v>46222</v>
      </c>
      <c r="F765" t="inlineStr">
        <is>
          <t>BLEKINGE LÄN</t>
        </is>
      </c>
      <c r="G765" t="inlineStr">
        <is>
          <t>KARLSKRONA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55270-2024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45621</v>
      </c>
      <c r="E766" s="1" t="n">
        <v>46222</v>
      </c>
      <c r="F766" t="inlineStr">
        <is>
          <t>BLEKINGE LÄN</t>
        </is>
      </c>
      <c r="G766" t="inlineStr">
        <is>
          <t>KARLSKRONA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40357-2024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45555</v>
      </c>
      <c r="E767" s="1" t="n">
        <v>46222</v>
      </c>
      <c r="F767" t="inlineStr">
        <is>
          <t>BLEKINGE LÄN</t>
        </is>
      </c>
      <c r="G767" t="inlineStr">
        <is>
          <t>KARLSKRONA</t>
        </is>
      </c>
      <c r="I767" t="n">
        <v>1.2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23110-2023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45075</v>
      </c>
      <c r="E768" s="1" t="n">
        <v>46222</v>
      </c>
      <c r="F768" t="inlineStr">
        <is>
          <t>BLEKINGE LÄN</t>
        </is>
      </c>
      <c r="G768" t="inlineStr">
        <is>
          <t>KARLSKRONA</t>
        </is>
      </c>
      <c r="I768" t="n">
        <v>5.4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7252-2024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45344</v>
      </c>
      <c r="E769" s="1" t="n">
        <v>46222</v>
      </c>
      <c r="F769" t="inlineStr">
        <is>
          <t>BLEKINGE LÄN</t>
        </is>
      </c>
      <c r="G769" t="inlineStr">
        <is>
          <t>KARLSKRONA</t>
        </is>
      </c>
      <c r="H769" t="inlineStr">
        <is>
          <t>Kommuner</t>
        </is>
      </c>
      <c r="I769" t="n">
        <v>2.4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11411-2024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45372</v>
      </c>
      <c r="E770" s="1" t="n">
        <v>46222</v>
      </c>
      <c r="F770" t="inlineStr">
        <is>
          <t>BLEKINGE LÄN</t>
        </is>
      </c>
      <c r="G770" t="inlineStr">
        <is>
          <t>KARLSKRONA</t>
        </is>
      </c>
      <c r="I770" t="n">
        <v>5.1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31021-2024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45499</v>
      </c>
      <c r="E771" s="1" t="n">
        <v>46222</v>
      </c>
      <c r="F771" t="inlineStr">
        <is>
          <t>BLEKINGE LÄN</t>
        </is>
      </c>
      <c r="G771" t="inlineStr">
        <is>
          <t>KARLSKRONA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30660-2024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45495</v>
      </c>
      <c r="E772" s="1" t="n">
        <v>46222</v>
      </c>
      <c r="F772" t="inlineStr">
        <is>
          <t>BLEKINGE LÄN</t>
        </is>
      </c>
      <c r="G772" t="inlineStr">
        <is>
          <t>KARLSKRONA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48975-2024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45594</v>
      </c>
      <c r="E773" s="1" t="n">
        <v>46222</v>
      </c>
      <c r="F773" t="inlineStr">
        <is>
          <t>BLEKINGE LÄN</t>
        </is>
      </c>
      <c r="G773" t="inlineStr">
        <is>
          <t>KARLSKRONA</t>
        </is>
      </c>
      <c r="I773" t="n">
        <v>7.6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44425-2024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45573</v>
      </c>
      <c r="E774" s="1" t="n">
        <v>46222</v>
      </c>
      <c r="F774" t="inlineStr">
        <is>
          <t>BLEKINGE LÄN</t>
        </is>
      </c>
      <c r="G774" t="inlineStr">
        <is>
          <t>KARLSKRONA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37400-2021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44398</v>
      </c>
      <c r="E775" s="1" t="n">
        <v>46222</v>
      </c>
      <c r="F775" t="inlineStr">
        <is>
          <t>BLEKINGE LÄN</t>
        </is>
      </c>
      <c r="G775" t="inlineStr">
        <is>
          <t>KARLSKRONA</t>
        </is>
      </c>
      <c r="I775" t="n">
        <v>23.4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13535-2024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45387</v>
      </c>
      <c r="E776" s="1" t="n">
        <v>46222</v>
      </c>
      <c r="F776" t="inlineStr">
        <is>
          <t>BLEKINGE LÄN</t>
        </is>
      </c>
      <c r="G776" t="inlineStr">
        <is>
          <t>KARLSKRONA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21606-2025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45783</v>
      </c>
      <c r="E777" s="1" t="n">
        <v>46222</v>
      </c>
      <c r="F777" t="inlineStr">
        <is>
          <t>BLEKINGE LÄN</t>
        </is>
      </c>
      <c r="G777" t="inlineStr">
        <is>
          <t>KARLSKRONA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21648-2025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45783</v>
      </c>
      <c r="E778" s="1" t="n">
        <v>46222</v>
      </c>
      <c r="F778" t="inlineStr">
        <is>
          <t>BLEKINGE LÄN</t>
        </is>
      </c>
      <c r="G778" t="inlineStr">
        <is>
          <t>KARLSKRONA</t>
        </is>
      </c>
      <c r="I778" t="n">
        <v>0.4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37415-2024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45540</v>
      </c>
      <c r="E779" s="1" t="n">
        <v>46222</v>
      </c>
      <c r="F779" t="inlineStr">
        <is>
          <t>BLEKINGE LÄN</t>
        </is>
      </c>
      <c r="G779" t="inlineStr">
        <is>
          <t>KARLSKRONA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12827-2024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45384</v>
      </c>
      <c r="E780" s="1" t="n">
        <v>46222</v>
      </c>
      <c r="F780" t="inlineStr">
        <is>
          <t>BLEKINGE LÄN</t>
        </is>
      </c>
      <c r="G780" t="inlineStr">
        <is>
          <t>KARLSKRONA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56340-2024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45624</v>
      </c>
      <c r="E781" s="1" t="n">
        <v>46222</v>
      </c>
      <c r="F781" t="inlineStr">
        <is>
          <t>BLEKINGE LÄN</t>
        </is>
      </c>
      <c r="G781" t="inlineStr">
        <is>
          <t>KARLSKRONA</t>
        </is>
      </c>
      <c r="I781" t="n">
        <v>3.5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9349-2025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45714</v>
      </c>
      <c r="E782" s="1" t="n">
        <v>46222</v>
      </c>
      <c r="F782" t="inlineStr">
        <is>
          <t>BLEKINGE LÄN</t>
        </is>
      </c>
      <c r="G782" t="inlineStr">
        <is>
          <t>KARLSKRONA</t>
        </is>
      </c>
      <c r="I782" t="n">
        <v>2.5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57830-2024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45631</v>
      </c>
      <c r="E783" s="1" t="n">
        <v>46222</v>
      </c>
      <c r="F783" t="inlineStr">
        <is>
          <t>BLEKINGE LÄN</t>
        </is>
      </c>
      <c r="G783" t="inlineStr">
        <is>
          <t>KARLSKRONA</t>
        </is>
      </c>
      <c r="I783" t="n">
        <v>4.5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5218-2025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45691</v>
      </c>
      <c r="E784" s="1" t="n">
        <v>46222</v>
      </c>
      <c r="F784" t="inlineStr">
        <is>
          <t>BLEKINGE LÄN</t>
        </is>
      </c>
      <c r="G784" t="inlineStr">
        <is>
          <t>KARLSKRONA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35694-2024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45532</v>
      </c>
      <c r="E785" s="1" t="n">
        <v>46222</v>
      </c>
      <c r="F785" t="inlineStr">
        <is>
          <t>BLEKINGE LÄN</t>
        </is>
      </c>
      <c r="G785" t="inlineStr">
        <is>
          <t>KARLSKRONA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23464-2024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45453</v>
      </c>
      <c r="E786" s="1" t="n">
        <v>46222</v>
      </c>
      <c r="F786" t="inlineStr">
        <is>
          <t>BLEKINGE LÄN</t>
        </is>
      </c>
      <c r="G786" t="inlineStr">
        <is>
          <t>KARLSKRONA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22262-2025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45785</v>
      </c>
      <c r="E787" s="1" t="n">
        <v>46222</v>
      </c>
      <c r="F787" t="inlineStr">
        <is>
          <t>BLEKINGE LÄN</t>
        </is>
      </c>
      <c r="G787" t="inlineStr">
        <is>
          <t>KARLSKRONA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16638-2025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45754</v>
      </c>
      <c r="E788" s="1" t="n">
        <v>46222</v>
      </c>
      <c r="F788" t="inlineStr">
        <is>
          <t>BLEKINGE LÄN</t>
        </is>
      </c>
      <c r="G788" t="inlineStr">
        <is>
          <t>KARLSKRONA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62025-2024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45656</v>
      </c>
      <c r="E789" s="1" t="n">
        <v>46222</v>
      </c>
      <c r="F789" t="inlineStr">
        <is>
          <t>BLEKINGE LÄN</t>
        </is>
      </c>
      <c r="G789" t="inlineStr">
        <is>
          <t>KARLSKRONA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2416-2025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45674</v>
      </c>
      <c r="E790" s="1" t="n">
        <v>46222</v>
      </c>
      <c r="F790" t="inlineStr">
        <is>
          <t>BLEKINGE LÄN</t>
        </is>
      </c>
      <c r="G790" t="inlineStr">
        <is>
          <t>KARLSKRONA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60538-2021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44496</v>
      </c>
      <c r="E791" s="1" t="n">
        <v>46222</v>
      </c>
      <c r="F791" t="inlineStr">
        <is>
          <t>BLEKINGE LÄN</t>
        </is>
      </c>
      <c r="G791" t="inlineStr">
        <is>
          <t>KARLSKRONA</t>
        </is>
      </c>
      <c r="I791" t="n">
        <v>3.9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24030-2025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45796</v>
      </c>
      <c r="E792" s="1" t="n">
        <v>46222</v>
      </c>
      <c r="F792" t="inlineStr">
        <is>
          <t>BLEKINGE LÄN</t>
        </is>
      </c>
      <c r="G792" t="inlineStr">
        <is>
          <t>KARLSKRONA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24267-2025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45797</v>
      </c>
      <c r="E793" s="1" t="n">
        <v>46222</v>
      </c>
      <c r="F793" t="inlineStr">
        <is>
          <t>BLEKINGE LÄN</t>
        </is>
      </c>
      <c r="G793" t="inlineStr">
        <is>
          <t>KARLSKRONA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24269-2025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45797</v>
      </c>
      <c r="E794" s="1" t="n">
        <v>46222</v>
      </c>
      <c r="F794" t="inlineStr">
        <is>
          <t>BLEKINGE LÄN</t>
        </is>
      </c>
      <c r="G794" t="inlineStr">
        <is>
          <t>KARLSKRONA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46096-2024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45581</v>
      </c>
      <c r="E795" s="1" t="n">
        <v>46222</v>
      </c>
      <c r="F795" t="inlineStr">
        <is>
          <t>BLEKINGE LÄN</t>
        </is>
      </c>
      <c r="G795" t="inlineStr">
        <is>
          <t>KARLSKRONA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19678-2025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45770</v>
      </c>
      <c r="E796" s="1" t="n">
        <v>46222</v>
      </c>
      <c r="F796" t="inlineStr">
        <is>
          <t>BLEKINGE LÄN</t>
        </is>
      </c>
      <c r="G796" t="inlineStr">
        <is>
          <t>KARLSKRONA</t>
        </is>
      </c>
      <c r="I796" t="n">
        <v>1.2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5543-2025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45693</v>
      </c>
      <c r="E797" s="1" t="n">
        <v>46222</v>
      </c>
      <c r="F797" t="inlineStr">
        <is>
          <t>BLEKINGE LÄN</t>
        </is>
      </c>
      <c r="G797" t="inlineStr">
        <is>
          <t>KARLSKRONA</t>
        </is>
      </c>
      <c r="I797" t="n">
        <v>4.8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58296-2024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45632</v>
      </c>
      <c r="E798" s="1" t="n">
        <v>46222</v>
      </c>
      <c r="F798" t="inlineStr">
        <is>
          <t>BLEKINGE LÄN</t>
        </is>
      </c>
      <c r="G798" t="inlineStr">
        <is>
          <t>KARLSKRONA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14511-2023</t>
        </is>
      </c>
      <c r="B799" t="inlineStr">
        <is>
          <t>avverkningsanmälan</t>
        </is>
      </c>
      <c r="C799" t="inlineStr">
        <is>
          <t>Avverkning för annat ändamål</t>
        </is>
      </c>
      <c r="D799" s="1" t="n">
        <v>45012</v>
      </c>
      <c r="E799" s="1" t="n">
        <v>46222</v>
      </c>
      <c r="F799" t="inlineStr">
        <is>
          <t>BLEKINGE LÄN</t>
        </is>
      </c>
      <c r="G799" t="inlineStr">
        <is>
          <t>KARLSKRONA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5417-2022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44831</v>
      </c>
      <c r="E800" s="1" t="n">
        <v>46222</v>
      </c>
      <c r="F800" t="inlineStr">
        <is>
          <t>BLEKINGE LÄN</t>
        </is>
      </c>
      <c r="G800" t="inlineStr">
        <is>
          <t>KARLSKRONA</t>
        </is>
      </c>
      <c r="H800" t="inlineStr">
        <is>
          <t>Kommuner</t>
        </is>
      </c>
      <c r="I800" t="n">
        <v>0.8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2103-2020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44110</v>
      </c>
      <c r="E801" s="1" t="n">
        <v>46222</v>
      </c>
      <c r="F801" t="inlineStr">
        <is>
          <t>BLEKINGE LÄN</t>
        </is>
      </c>
      <c r="G801" t="inlineStr">
        <is>
          <t>KARLSKRONA</t>
        </is>
      </c>
      <c r="H801" t="inlineStr">
        <is>
          <t>Kommuner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868-2020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43938</v>
      </c>
      <c r="E802" s="1" t="n">
        <v>46222</v>
      </c>
      <c r="F802" t="inlineStr">
        <is>
          <t>BLEKINGE LÄN</t>
        </is>
      </c>
      <c r="G802" t="inlineStr">
        <is>
          <t>KARLSKRONA</t>
        </is>
      </c>
      <c r="I802" t="n">
        <v>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5253-2022</t>
        </is>
      </c>
      <c r="B803" t="inlineStr">
        <is>
          <t>samrådsanmälan</t>
        </is>
      </c>
      <c r="C803" t="inlineStr">
        <is>
          <t>Annan skogsbruksåtgärd</t>
        </is>
      </c>
      <c r="D803" s="1" t="n">
        <v>44825</v>
      </c>
      <c r="E803" s="1" t="n">
        <v>46222</v>
      </c>
      <c r="F803" t="inlineStr">
        <is>
          <t>BLEKINGE LÄN</t>
        </is>
      </c>
      <c r="G803" t="inlineStr">
        <is>
          <t>KARLSKRONA</t>
        </is>
      </c>
      <c r="H803" t="inlineStr">
        <is>
          <t>Kommuner</t>
        </is>
      </c>
      <c r="I803" t="n">
        <v>0.8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3203-2023</t>
        </is>
      </c>
      <c r="B804" t="inlineStr">
        <is>
          <t>samrådsanmälan</t>
        </is>
      </c>
      <c r="C804" t="inlineStr">
        <is>
          <t>Åtgärd i nyckelbiotop</t>
        </is>
      </c>
      <c r="D804" s="1" t="n">
        <v>45188</v>
      </c>
      <c r="E804" s="1" t="n">
        <v>46222</v>
      </c>
      <c r="F804" t="inlineStr">
        <is>
          <t>BLEKINGE LÄN</t>
        </is>
      </c>
      <c r="G804" t="inlineStr">
        <is>
          <t>KARLSKRONA</t>
        </is>
      </c>
      <c r="I804" t="n">
        <v>2.8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4166-2023</t>
        </is>
      </c>
      <c r="B805" t="inlineStr">
        <is>
          <t>samrådsanmälan</t>
        </is>
      </c>
      <c r="C805" t="inlineStr">
        <is>
          <t>Askåterföring</t>
        </is>
      </c>
      <c r="D805" s="1" t="n">
        <v>45250</v>
      </c>
      <c r="E805" s="1" t="n">
        <v>46222</v>
      </c>
      <c r="F805" t="inlineStr">
        <is>
          <t>BLEKINGE LÄN</t>
        </is>
      </c>
      <c r="G805" t="inlineStr">
        <is>
          <t>KARLSKRONA</t>
        </is>
      </c>
      <c r="I805" t="n">
        <v>19.9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427-2023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44960</v>
      </c>
      <c r="E806" s="1" t="n">
        <v>46222</v>
      </c>
      <c r="F806" t="inlineStr">
        <is>
          <t>BLEKINGE LÄN</t>
        </is>
      </c>
      <c r="G806" t="inlineStr">
        <is>
          <t>KARLSKRONA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370-2023</t>
        </is>
      </c>
      <c r="B807" t="inlineStr">
        <is>
          <t>samrådsanmälan</t>
        </is>
      </c>
      <c r="C807" t="inlineStr">
        <is>
          <t>Askåterföring</t>
        </is>
      </c>
      <c r="D807" s="1" t="n">
        <v>44959</v>
      </c>
      <c r="E807" s="1" t="n">
        <v>46222</v>
      </c>
      <c r="F807" t="inlineStr">
        <is>
          <t>BLEKINGE LÄN</t>
        </is>
      </c>
      <c r="G807" t="inlineStr">
        <is>
          <t>KARLSKRONA</t>
        </is>
      </c>
      <c r="I807" t="n">
        <v>50.2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763-2023</t>
        </is>
      </c>
      <c r="B808" t="inlineStr">
        <is>
          <t>samrådsanmälan</t>
        </is>
      </c>
      <c r="C808" t="inlineStr">
        <is>
          <t>Askåterföring</t>
        </is>
      </c>
      <c r="D808" s="1" t="n">
        <v>44981</v>
      </c>
      <c r="E808" s="1" t="n">
        <v>46222</v>
      </c>
      <c r="F808" t="inlineStr">
        <is>
          <t>BLEKINGE LÄN</t>
        </is>
      </c>
      <c r="G808" t="inlineStr">
        <is>
          <t>KARLSKRONA</t>
        </is>
      </c>
      <c r="I808" t="n">
        <v>30.4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865-2024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45373</v>
      </c>
      <c r="E809" s="1" t="n">
        <v>46222</v>
      </c>
      <c r="F809" t="inlineStr">
        <is>
          <t>BLEKINGE LÄN</t>
        </is>
      </c>
      <c r="G809" t="inlineStr">
        <is>
          <t>KARLSKRONA</t>
        </is>
      </c>
      <c r="I809" t="n">
        <v>16.7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372-2023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44959</v>
      </c>
      <c r="E810" s="1" t="n">
        <v>46222</v>
      </c>
      <c r="F810" t="inlineStr">
        <is>
          <t>BLEKINGE LÄN</t>
        </is>
      </c>
      <c r="G810" t="inlineStr">
        <is>
          <t>KARLSKRONA</t>
        </is>
      </c>
      <c r="I810" t="n">
        <v>17.3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624-2023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44972</v>
      </c>
      <c r="E811" s="1" t="n">
        <v>46222</v>
      </c>
      <c r="F811" t="inlineStr">
        <is>
          <t>BLEKINGE LÄN</t>
        </is>
      </c>
      <c r="G811" t="inlineStr">
        <is>
          <t>KARLSKRONA</t>
        </is>
      </c>
      <c r="I811" t="n">
        <v>13.4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2710-2023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45155</v>
      </c>
      <c r="E812" s="1" t="n">
        <v>46222</v>
      </c>
      <c r="F812" t="inlineStr">
        <is>
          <t>BLEKINGE LÄN</t>
        </is>
      </c>
      <c r="G812" t="inlineStr">
        <is>
          <t>KARLSKRONA</t>
        </is>
      </c>
      <c r="I812" t="n">
        <v>32.9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4796-2024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45611</v>
      </c>
      <c r="E813" s="1" t="n">
        <v>46222</v>
      </c>
      <c r="F813" t="inlineStr">
        <is>
          <t>BLEKINGE LÄN</t>
        </is>
      </c>
      <c r="G813" t="inlineStr">
        <is>
          <t>KARLSKRONA</t>
        </is>
      </c>
      <c r="I813" t="n">
        <v>26.8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4459-2023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45271</v>
      </c>
      <c r="E814" s="1" t="n">
        <v>46222</v>
      </c>
      <c r="F814" t="inlineStr">
        <is>
          <t>BLEKINGE LÄN</t>
        </is>
      </c>
      <c r="G814" t="inlineStr">
        <is>
          <t>KARLSKRONA</t>
        </is>
      </c>
      <c r="I814" t="n">
        <v>0.1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2528-2024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45474</v>
      </c>
      <c r="E815" s="1" t="n">
        <v>46222</v>
      </c>
      <c r="F815" t="inlineStr">
        <is>
          <t>BLEKINGE LÄN</t>
        </is>
      </c>
      <c r="G815" t="inlineStr">
        <is>
          <t>KARLSKRONA</t>
        </is>
      </c>
      <c r="I815" t="n">
        <v>33.3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7094-2021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44462</v>
      </c>
      <c r="E816" s="1" t="n">
        <v>46222</v>
      </c>
      <c r="F816" t="inlineStr">
        <is>
          <t>BLEKINGE LÄN</t>
        </is>
      </c>
      <c r="G816" t="inlineStr">
        <is>
          <t>KARLSKRONA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5153-2024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45646</v>
      </c>
      <c r="E817" s="1" t="n">
        <v>46222</v>
      </c>
      <c r="F817" t="inlineStr">
        <is>
          <t>BLEKINGE LÄN</t>
        </is>
      </c>
      <c r="G817" t="inlineStr">
        <is>
          <t>KARLSKRONA</t>
        </is>
      </c>
      <c r="I817" t="n">
        <v>0.3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855-2025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45734</v>
      </c>
      <c r="E818" s="1" t="n">
        <v>46222</v>
      </c>
      <c r="F818" t="inlineStr">
        <is>
          <t>BLEKINGE LÄN</t>
        </is>
      </c>
      <c r="G818" t="inlineStr">
        <is>
          <t>KARLSKRONA</t>
        </is>
      </c>
      <c r="I818" t="n">
        <v>17.4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466-2025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45702</v>
      </c>
      <c r="E819" s="1" t="n">
        <v>46222</v>
      </c>
      <c r="F819" t="inlineStr">
        <is>
          <t>BLEKINGE LÄN</t>
        </is>
      </c>
      <c r="G819" t="inlineStr">
        <is>
          <t>KARLSKRONA</t>
        </is>
      </c>
      <c r="I819" t="n">
        <v>50.7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686-2025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45719</v>
      </c>
      <c r="E820" s="1" t="n">
        <v>46222</v>
      </c>
      <c r="F820" t="inlineStr">
        <is>
          <t>BLEKINGE LÄN</t>
        </is>
      </c>
      <c r="G820" t="inlineStr">
        <is>
          <t>KARLSKRONA</t>
        </is>
      </c>
      <c r="I820" t="n">
        <v>24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852-2025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45734</v>
      </c>
      <c r="E821" s="1" t="n">
        <v>46222</v>
      </c>
      <c r="F821" t="inlineStr">
        <is>
          <t>BLEKINGE LÄN</t>
        </is>
      </c>
      <c r="G821" t="inlineStr">
        <is>
          <t>KARLSKRONA</t>
        </is>
      </c>
      <c r="I821" t="n">
        <v>17.4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2239-2024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45460</v>
      </c>
      <c r="E822" s="1" t="n">
        <v>46222</v>
      </c>
      <c r="F822" t="inlineStr">
        <is>
          <t>BLEKINGE LÄN</t>
        </is>
      </c>
      <c r="G822" t="inlineStr">
        <is>
          <t>KARLSKRONA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177-2026</t>
        </is>
      </c>
      <c r="B823" t="inlineStr">
        <is>
          <t>samrådsanmälan</t>
        </is>
      </c>
      <c r="C823" t="inlineStr">
        <is>
          <t>Askåterföring</t>
        </is>
      </c>
      <c r="D823" s="1" t="n">
        <v>46045</v>
      </c>
      <c r="E823" s="1" t="n">
        <v>46222</v>
      </c>
      <c r="F823" t="inlineStr">
        <is>
          <t>BLEKINGE LÄN</t>
        </is>
      </c>
      <c r="G823" t="inlineStr">
        <is>
          <t>KARLSKRONA</t>
        </is>
      </c>
      <c r="I823" t="n">
        <v>20.5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361-2026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46064</v>
      </c>
      <c r="E824" s="1" t="n">
        <v>46222</v>
      </c>
      <c r="F824" t="inlineStr">
        <is>
          <t>BLEKINGE LÄN</t>
        </is>
      </c>
      <c r="G824" t="inlineStr">
        <is>
          <t>KARLSKRONA</t>
        </is>
      </c>
      <c r="I824" t="n">
        <v>18.4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401-2026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46070</v>
      </c>
      <c r="E825" s="1" t="n">
        <v>46222</v>
      </c>
      <c r="F825" t="inlineStr">
        <is>
          <t>BLEKINGE LÄN</t>
        </is>
      </c>
      <c r="G825" t="inlineStr">
        <is>
          <t>KARLSKRONA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758-2026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46097</v>
      </c>
      <c r="E826" s="1" t="n">
        <v>46222</v>
      </c>
      <c r="F826" t="inlineStr">
        <is>
          <t>BLEKINGE LÄN</t>
        </is>
      </c>
      <c r="G826" t="inlineStr">
        <is>
          <t>KARLSKRONA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779-2026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46099</v>
      </c>
      <c r="E827" s="1" t="n">
        <v>46222</v>
      </c>
      <c r="F827" t="inlineStr">
        <is>
          <t>BLEKINGE LÄN</t>
        </is>
      </c>
      <c r="G827" t="inlineStr">
        <is>
          <t>KARLSKRONA</t>
        </is>
      </c>
      <c r="I827" t="n">
        <v>61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777-2026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46099</v>
      </c>
      <c r="E828" s="1" t="n">
        <v>46222</v>
      </c>
      <c r="F828" t="inlineStr">
        <is>
          <t>BLEKINGE LÄN</t>
        </is>
      </c>
      <c r="G828" t="inlineStr">
        <is>
          <t>KARLSKRONA</t>
        </is>
      </c>
      <c r="I828" t="n">
        <v>45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807-2026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46101</v>
      </c>
      <c r="E829" s="1" t="n">
        <v>46222</v>
      </c>
      <c r="F829" t="inlineStr">
        <is>
          <t>BLEKINGE LÄN</t>
        </is>
      </c>
      <c r="G829" t="inlineStr">
        <is>
          <t>KARLSKRONA</t>
        </is>
      </c>
      <c r="I829" t="n">
        <v>11.3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853-2026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46105</v>
      </c>
      <c r="E830" s="1" t="n">
        <v>46222</v>
      </c>
      <c r="F830" t="inlineStr">
        <is>
          <t>BLEKINGE LÄN</t>
        </is>
      </c>
      <c r="G830" t="inlineStr">
        <is>
          <t>KARLSKRONA</t>
        </is>
      </c>
      <c r="I830" t="n">
        <v>167.3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>
      <c r="A831" t="inlineStr">
        <is>
          <t>S 1515-2026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46164</v>
      </c>
      <c r="E831" s="1" t="n">
        <v>46222</v>
      </c>
      <c r="F831" t="inlineStr">
        <is>
          <t>BLEKINGE LÄN</t>
        </is>
      </c>
      <c r="G831" t="inlineStr">
        <is>
          <t>KARLSKRONA</t>
        </is>
      </c>
      <c r="I831" t="n">
        <v>20.2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2026-07-19T01:37:23Z</dcterms:created>
  <dcterms:modified xmlns:dcterms="http://purl.org/dc/terms/" xmlns:xsi="http://www.w3.org/2001/XMLSchema-instance" xsi:type="dcterms:W3CDTF">2026-07-19T01:37:24Z</dcterms:modified>
</cp:coreProperties>
</file>