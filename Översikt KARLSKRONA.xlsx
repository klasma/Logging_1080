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45345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45345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45345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45345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45345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45345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45345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45345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44529-2018</t>
        </is>
      </c>
      <c r="B10" s="1" t="n">
        <v>43356</v>
      </c>
      <c r="C10" s="1" t="n">
        <v>45345</v>
      </c>
      <c r="D10" t="inlineStr">
        <is>
          <t>BLEKINGE LÄN</t>
        </is>
      </c>
      <c r="E10" t="inlineStr">
        <is>
          <t>KARLSKRONA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44529-2018 artfynd.xlsx", "A 44529-2018")</f>
        <v/>
      </c>
      <c r="T10">
        <f>HYPERLINK("https://klasma.github.io/Logging_1080/kartor/A 44529-2018 karta.png", "A 44529-2018")</f>
        <v/>
      </c>
      <c r="V10">
        <f>HYPERLINK("https://klasma.github.io/Logging_1080/klagomål/A 44529-2018 FSC-klagomål.docx", "A 44529-2018")</f>
        <v/>
      </c>
      <c r="W10">
        <f>HYPERLINK("https://klasma.github.io/Logging_1080/klagomålsmail/A 44529-2018 FSC-klagomål mail.docx", "A 44529-2018")</f>
        <v/>
      </c>
      <c r="X10">
        <f>HYPERLINK("https://klasma.github.io/Logging_1080/tillsyn/A 44529-2018 tillsynsbegäran.docx", "A 44529-2018")</f>
        <v/>
      </c>
      <c r="Y10">
        <f>HYPERLINK("https://klasma.github.io/Logging_1080/tillsynsmail/A 44529-2018 tillsynsbegäran mail.docx", "A 44529-2018")</f>
        <v/>
      </c>
    </row>
    <row r="11" ht="15" customHeight="1">
      <c r="A11" t="inlineStr">
        <is>
          <t>A 70663-2018</t>
        </is>
      </c>
      <c r="B11" s="1" t="n">
        <v>43447</v>
      </c>
      <c r="C11" s="1" t="n">
        <v>45345</v>
      </c>
      <c r="D11" t="inlineStr">
        <is>
          <t>BLEKINGE LÄN</t>
        </is>
      </c>
      <c r="E11" t="inlineStr">
        <is>
          <t>KARLSKRONA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Bågpraktmossa</t>
        </is>
      </c>
      <c r="S11">
        <f>HYPERLINK("https://klasma.github.io/Logging_1080/artfynd/A 70663-2018 artfynd.xlsx", "A 70663-2018")</f>
        <v/>
      </c>
      <c r="T11">
        <f>HYPERLINK("https://klasma.github.io/Logging_1080/kartor/A 70663-2018 karta.png", "A 70663-2018")</f>
        <v/>
      </c>
      <c r="V11">
        <f>HYPERLINK("https://klasma.github.io/Logging_1080/klagomål/A 70663-2018 FSC-klagomål.docx", "A 70663-2018")</f>
        <v/>
      </c>
      <c r="W11">
        <f>HYPERLINK("https://klasma.github.io/Logging_1080/klagomålsmail/A 70663-2018 FSC-klagomål mail.docx", "A 70663-2018")</f>
        <v/>
      </c>
      <c r="X11">
        <f>HYPERLINK("https://klasma.github.io/Logging_1080/tillsyn/A 70663-2018 tillsynsbegäran.docx", "A 70663-2018")</f>
        <v/>
      </c>
      <c r="Y11">
        <f>HYPERLINK("https://klasma.github.io/Logging_1080/tillsynsmail/A 70663-2018 tillsynsbegäran mail.docx", "A 70663-2018")</f>
        <v/>
      </c>
    </row>
    <row r="12" ht="15" customHeight="1">
      <c r="A12" t="inlineStr">
        <is>
          <t>A 71465-2018</t>
        </is>
      </c>
      <c r="B12" s="1" t="n">
        <v>43451</v>
      </c>
      <c r="C12" s="1" t="n">
        <v>45345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HYPERLINK("https://klasma.github.io/Logging_1080/artfynd/A 71465-2018 artfynd.xlsx", "A 71465-2018")</f>
        <v/>
      </c>
      <c r="T12">
        <f>HYPERLINK("https://klasma.github.io/Logging_1080/kartor/A 71465-2018 karta.png", "A 71465-2018")</f>
        <v/>
      </c>
      <c r="V12">
        <f>HYPERLINK("https://klasma.github.io/Logging_1080/klagomål/A 71465-2018 FSC-klagomål.docx", "A 71465-2018")</f>
        <v/>
      </c>
      <c r="W12">
        <f>HYPERLINK("https://klasma.github.io/Logging_1080/klagomålsmail/A 71465-2018 FSC-klagomål mail.docx", "A 71465-2018")</f>
        <v/>
      </c>
      <c r="X12">
        <f>HYPERLINK("https://klasma.github.io/Logging_1080/tillsyn/A 71465-2018 tillsynsbegäran.docx", "A 71465-2018")</f>
        <v/>
      </c>
      <c r="Y12">
        <f>HYPERLINK("https://klasma.github.io/Logging_1080/tillsynsmail/A 71465-2018 tillsynsbegäran mail.docx", "A 71465-2018")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45345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33062-2020</t>
        </is>
      </c>
      <c r="B14" s="1" t="n">
        <v>44021</v>
      </c>
      <c r="C14" s="1" t="n">
        <v>45345</v>
      </c>
      <c r="D14" t="inlineStr">
        <is>
          <t>BLEKINGE LÄN</t>
        </is>
      </c>
      <c r="E14" t="inlineStr">
        <is>
          <t>KARLSKRONA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HYPERLINK("https://klasma.github.io/Logging_1080/artfynd/A 33062-2020 artfynd.xlsx", "A 33062-2020")</f>
        <v/>
      </c>
      <c r="T14">
        <f>HYPERLINK("https://klasma.github.io/Logging_1080/kartor/A 33062-2020 karta.png", "A 33062-2020")</f>
        <v/>
      </c>
      <c r="V14">
        <f>HYPERLINK("https://klasma.github.io/Logging_1080/klagomål/A 33062-2020 FSC-klagomål.docx", "A 33062-2020")</f>
        <v/>
      </c>
      <c r="W14">
        <f>HYPERLINK("https://klasma.github.io/Logging_1080/klagomålsmail/A 33062-2020 FSC-klagomål mail.docx", "A 33062-2020")</f>
        <v/>
      </c>
      <c r="X14">
        <f>HYPERLINK("https://klasma.github.io/Logging_1080/tillsyn/A 33062-2020 tillsynsbegäran.docx", "A 33062-2020")</f>
        <v/>
      </c>
      <c r="Y14">
        <f>HYPERLINK("https://klasma.github.io/Logging_1080/tillsynsmail/A 33062-2020 tillsynsbegäran mail.docx", "A 33062-2020")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45345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45345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45345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45345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45345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45345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45345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45345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45345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45345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45345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45345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45345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45345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34886-2018</t>
        </is>
      </c>
      <c r="B29" s="1" t="n">
        <v>43321</v>
      </c>
      <c r="C29" s="1" t="n">
        <v>45345</v>
      </c>
      <c r="D29" t="inlineStr">
        <is>
          <t>BLEKINGE LÄN</t>
        </is>
      </c>
      <c r="E29" t="inlineStr">
        <is>
          <t>KARLSKRONA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36937-2018</t>
        </is>
      </c>
      <c r="B30" s="1" t="n">
        <v>43332</v>
      </c>
      <c r="C30" s="1" t="n">
        <v>45345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45345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45345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45345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45345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45345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45345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45345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45345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45345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45345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45345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45345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45345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45345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45345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45345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45345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45345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45345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45345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45345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45345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45345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45345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45345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45345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45345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45345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45345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45345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45345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45345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45345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45345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45345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45345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45345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45345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45345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45345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45345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45345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45345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45345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45345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45345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45345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45345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45345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45345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45345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45345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45345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45345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45345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45345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45345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45345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45345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45345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45345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45345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45345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45345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45345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45345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45345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45345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45345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45345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45345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45345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45345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45345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45345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45345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45345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45345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45345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45345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45345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45345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45345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45345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45345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45345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45345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45345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45345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45345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45345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45345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45345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45345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45345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45345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45345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45345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45345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45345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45345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45345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45345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45345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45345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45345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45345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45345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45345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45345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45345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45345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45345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45345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45345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45345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45345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45345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45345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45345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45345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45345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45345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45345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45345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45345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45345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45345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45345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45345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45345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45345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45345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45345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45345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45345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45345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45345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45345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45345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45345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45345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45345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45345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45345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45345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45345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45345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45345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45345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45345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45345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45345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45345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45345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45345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45345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45345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45345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45345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45345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45345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45345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45345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45345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45345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45345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45345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45345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45345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45345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45345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45345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45345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45345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45345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45345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45345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45345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45345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45345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45345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45345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45345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45345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45345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45345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45345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45345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45345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45345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45345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45345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45345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45345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45345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45345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45345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45345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45345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45345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45345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45345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45345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45345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45345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45345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45345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45345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45345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45345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45345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45345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45345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45345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45345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45345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45345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45345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45345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45345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45345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45345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45345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45345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45345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45345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45345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45345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45345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45345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45345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45345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45345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45345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45345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45345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45345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45345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45345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45345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45345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45345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45345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45345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45345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45345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45345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45345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45345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45345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45345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45345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45345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45345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45345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45345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45345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45345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45345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45345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45345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45345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45345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45345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45345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45345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45345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45345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45345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45345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45345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45345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45345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45345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45345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45345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45345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45345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45345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45345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45345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45345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45345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45345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45345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45345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45345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45345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45345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45345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45345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45345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45345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45345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45345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45345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45345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45345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45345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45345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45345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45345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45345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45345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45345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45345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45345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45345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45345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45345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45345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45345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45345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45345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45345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45345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45345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45345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45345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45345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45345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45345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45345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45345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45345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45345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45345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45345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45345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45345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45345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45345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45345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45345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45345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45345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45345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45345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45345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45345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45345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45345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45345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45345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45345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45345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45345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45345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45345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45345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45345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45345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45345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45345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45345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45345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45345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45345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45345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45345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45345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45345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45345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45345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45345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45345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45345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45345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45345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45345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45345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45345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45345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45345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45345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45345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45345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45345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45345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45345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45345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45345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45345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45345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45345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45345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45345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45345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45345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45345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45345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45345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45345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45345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45345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45345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45345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45345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45345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45345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45345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45345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45345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45345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45345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45345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45345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45345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45345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45345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45345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45345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45345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45345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45345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45345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45345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45345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45345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45345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45345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45345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45345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45345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45345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45345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45345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45345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45345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45345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45345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45345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45345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45345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45345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45345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45345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45345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45345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45345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45345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45345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45345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45345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45345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45345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45345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45345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45345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45345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45345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45345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45345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45345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45345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45345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45345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45345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45345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45345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45345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45345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45345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45345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45345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45345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45345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45345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45345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45345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45345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45345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45345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45345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45345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45345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45345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45345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45345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45345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45345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45345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45345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45345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45345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45345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45345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45345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45345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45345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45345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45345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45345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45345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45345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45345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45345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45345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45345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45345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45345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45345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45345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45345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45345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45345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45345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45345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45345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45345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45345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45345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45345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45345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45345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45345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45345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45345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45345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45345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45345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45345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45345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45345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45345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45345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45345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45345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45345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45345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45345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45345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45345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45345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45345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45345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45345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45345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45345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45345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45345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45345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45345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45345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45345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45345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45345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45345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45345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45345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45345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45345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45345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45345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45345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45345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45345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45345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45345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45345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45345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45345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45345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45345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45345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45345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45345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45345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45345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45345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45345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45345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45345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45345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45345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45345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45345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45345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45345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45345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45345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45345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45345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45345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45345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45345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45345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45345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45345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45345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45345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45345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45345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45345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45345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45345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45345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45345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45345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45345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45345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45345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45345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45345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45345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45345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45345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45345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45345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45345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45345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45345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45345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45345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45345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45345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45345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45345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45345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45345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45345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45345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45345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45345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45345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45345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45345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45345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45345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45345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45345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45345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45345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45345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45345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45345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45345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45345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45345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45345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45345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45345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45345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45345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45345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45345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45345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45345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45345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45345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45345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45345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45345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45345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45345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45345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45345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45345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45345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45345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45345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45345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45345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45345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45345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45345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45345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45345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45345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45345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45345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45345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45345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45345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45345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45345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45345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45345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45345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45345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45345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45345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45345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45345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45345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45345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45345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45345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45345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45345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45345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45345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45345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45345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45345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45345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45345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45345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45345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45345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45345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45345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45345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45345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45345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45345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45345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45345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45345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45345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45345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45345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45345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45345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45345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45345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45345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45345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45345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45345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45345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45345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45345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45345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45345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45345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45345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45345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45345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45345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45345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45345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45345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45345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45345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45345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45345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45345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45345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45345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45345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45345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45345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45345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45345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45345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45345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45345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45345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45345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45345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45345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45345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45345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45345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45345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45345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45345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45345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45345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45345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45345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45345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45345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45345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45345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45345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45345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45345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45345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45345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45345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45345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45345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45345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45345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45345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45345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45345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45345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45345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45345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45345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45345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45345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45345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45345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45345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45345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45345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45345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45345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45345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45345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45345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45345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45345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45345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45345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45345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45345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45345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45345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45345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45345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45345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45345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45345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45345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45345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45345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45345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45345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45345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45345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45345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45345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45345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45345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45345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45345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45345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45345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45345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45345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45345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45345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45345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45345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45345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45345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45345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45345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45345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45345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45345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45345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45345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45345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45345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45345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45345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45345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45345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45345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45345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45345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45345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45345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45345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45345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45345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45345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45345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45345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45345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45345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45345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45345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45345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45345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45345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45345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45345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45345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45345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45345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45345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45345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45345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45345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45345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45345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45345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45345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45345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45345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45345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45345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45345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45345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45345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45345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45345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45345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45345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45345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45345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45345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45345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45345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45345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45345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45345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45345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45345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45345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45345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45345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45345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45345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45345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45345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45345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45345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45345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45345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45345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45345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45345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45345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45345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45345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45345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45345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45345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45345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45345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45345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45345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45345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45345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45345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45345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45345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45345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45345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45345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45345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45345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45345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45345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45345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45345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45345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45345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45345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45345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45345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45345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45345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45345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45345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45345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45345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45345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45345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45345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45345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45345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45345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45345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45345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45345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45345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45345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45345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45345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45345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45345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45345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45345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45345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45345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45345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45345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45345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45345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45345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45345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45345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45345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45345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45345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45345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45345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45345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45345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45345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45345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45345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45345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45345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45345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45345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45345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45345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45345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45345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45345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45345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45345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45345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45345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45345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45345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45345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45345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45345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45345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45345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45345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45345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45345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45345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45345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45345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45345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45345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45345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45345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45345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45345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45345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45345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45345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45345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45345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45345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45345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45345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45345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45345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45345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45345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45345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45345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45345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45345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45345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45345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45345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45345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45345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45345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45345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45345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45345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45345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45345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45345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45345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45345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45345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45345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45345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45345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45345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45345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45345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45345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45345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45345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45345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45345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45345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45345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45345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45345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45345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45345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45345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45345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45345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45345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45345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45345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45345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45345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45345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45345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45345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45345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45345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45345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45345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45345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45345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45345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45345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45345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45345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45345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45345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45345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45345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45345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45345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45345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45345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45345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45345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45345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45345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45345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45345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45345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45345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45345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45345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45345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45345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45345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45345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45345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45345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45345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45345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45345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45345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45345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45345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45345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45345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45345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45345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45345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45345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45345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45345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45345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45345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45345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45345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45345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45345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45345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45345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45345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45345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45345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45345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45345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45345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45345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45345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45345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45345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45345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45345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45345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45345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45345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45345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45345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45345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45345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45345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45345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45345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45345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45345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45345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45345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45345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45345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45345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45345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45345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45345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45345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45345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45345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45345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45345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45345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45345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45345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45345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45345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45345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45345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45345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45345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45345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45345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45345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45345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45345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45345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45345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45345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45345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45345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45345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45345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45345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45345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45345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45345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45345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45345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45345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45345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45345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45345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45345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45345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45345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45345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45345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45345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45345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45345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45345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45345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45345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45345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45345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45345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45345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45345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45345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45345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45345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45345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45345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45345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45345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45345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45345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45345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45345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45345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45345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45345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45345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45345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45345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45345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45345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45345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45345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45345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45345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45345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45345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45345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45345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45345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45345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45345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45345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45345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45345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2999-2024</t>
        </is>
      </c>
      <c r="B1277" s="1" t="n">
        <v>45315</v>
      </c>
      <c r="C1277" s="1" t="n">
        <v>45345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3005-2024</t>
        </is>
      </c>
      <c r="B1278" s="1" t="n">
        <v>45315</v>
      </c>
      <c r="C1278" s="1" t="n">
        <v>45345</v>
      </c>
      <c r="D1278" t="inlineStr">
        <is>
          <t>BLEKINGE LÄN</t>
        </is>
      </c>
      <c r="E1278" t="inlineStr">
        <is>
          <t>KARLSKRONA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3013-2024</t>
        </is>
      </c>
      <c r="B1279" s="1" t="n">
        <v>45315</v>
      </c>
      <c r="C1279" s="1" t="n">
        <v>45345</v>
      </c>
      <c r="D1279" t="inlineStr">
        <is>
          <t>BLEKINGE LÄN</t>
        </is>
      </c>
      <c r="E1279" t="inlineStr">
        <is>
          <t>KARLSKRONA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3011-2024</t>
        </is>
      </c>
      <c r="B1280" s="1" t="n">
        <v>45315</v>
      </c>
      <c r="C1280" s="1" t="n">
        <v>45345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3012-2024</t>
        </is>
      </c>
      <c r="B1281" s="1" t="n">
        <v>45315</v>
      </c>
      <c r="C1281" s="1" t="n">
        <v>45345</v>
      </c>
      <c r="D1281" t="inlineStr">
        <is>
          <t>BLEKINGE LÄN</t>
        </is>
      </c>
      <c r="E1281" t="inlineStr">
        <is>
          <t>KARLSKRONA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3315-2024</t>
        </is>
      </c>
      <c r="B1282" s="1" t="n">
        <v>45316</v>
      </c>
      <c r="C1282" s="1" t="n">
        <v>45345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3321-2024</t>
        </is>
      </c>
      <c r="B1283" s="1" t="n">
        <v>45316</v>
      </c>
      <c r="C1283" s="1" t="n">
        <v>45345</v>
      </c>
      <c r="D1283" t="inlineStr">
        <is>
          <t>BLEKINGE LÄN</t>
        </is>
      </c>
      <c r="E1283" t="inlineStr">
        <is>
          <t>KARLSKRONA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45345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45345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45345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45345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4205-2024</t>
        </is>
      </c>
      <c r="B1288" s="1" t="n">
        <v>45324</v>
      </c>
      <c r="C1288" s="1" t="n">
        <v>45345</v>
      </c>
      <c r="D1288" t="inlineStr">
        <is>
          <t>BLEKINGE LÄN</t>
        </is>
      </c>
      <c r="E1288" t="inlineStr">
        <is>
          <t>KARLSKRONA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45345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45345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4286-2024</t>
        </is>
      </c>
      <c r="B1291" s="1" t="n">
        <v>45324</v>
      </c>
      <c r="C1291" s="1" t="n">
        <v>45345</v>
      </c>
      <c r="D1291" t="inlineStr">
        <is>
          <t>BLEKINGE LÄN</t>
        </is>
      </c>
      <c r="E1291" t="inlineStr">
        <is>
          <t>KARLSKRONA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45345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45345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45345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45345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45345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45345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45345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45345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45345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45345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45345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5556-2024</t>
        </is>
      </c>
      <c r="B1303" s="1" t="n">
        <v>45334</v>
      </c>
      <c r="C1303" s="1" t="n">
        <v>45345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5557-2024</t>
        </is>
      </c>
      <c r="B1304" s="1" t="n">
        <v>45334</v>
      </c>
      <c r="C1304" s="1" t="n">
        <v>45345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5649-2024</t>
        </is>
      </c>
      <c r="B1305" s="1" t="n">
        <v>45334</v>
      </c>
      <c r="C1305" s="1" t="n">
        <v>45345</v>
      </c>
      <c r="D1305" t="inlineStr">
        <is>
          <t>BLEKINGE LÄN</t>
        </is>
      </c>
      <c r="E1305" t="inlineStr">
        <is>
          <t>KARLSKRONA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5717-2024</t>
        </is>
      </c>
      <c r="B1306" s="1" t="n">
        <v>45334</v>
      </c>
      <c r="C1306" s="1" t="n">
        <v>45345</v>
      </c>
      <c r="D1306" t="inlineStr">
        <is>
          <t>BLEKINGE LÄN</t>
        </is>
      </c>
      <c r="E1306" t="inlineStr">
        <is>
          <t>KARLSKRONA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5651-2024</t>
        </is>
      </c>
      <c r="B1307" s="1" t="n">
        <v>45334</v>
      </c>
      <c r="C1307" s="1" t="n">
        <v>45345</v>
      </c>
      <c r="D1307" t="inlineStr">
        <is>
          <t>BLEKINGE LÄN</t>
        </is>
      </c>
      <c r="E1307" t="inlineStr">
        <is>
          <t>KARLSKRONA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5567-2024</t>
        </is>
      </c>
      <c r="B1308" s="1" t="n">
        <v>45334</v>
      </c>
      <c r="C1308" s="1" t="n">
        <v>45345</v>
      </c>
      <c r="D1308" t="inlineStr">
        <is>
          <t>BLEKINGE LÄN</t>
        </is>
      </c>
      <c r="E1308" t="inlineStr">
        <is>
          <t>KARLSKRONA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5716-2024</t>
        </is>
      </c>
      <c r="B1309" s="1" t="n">
        <v>45334</v>
      </c>
      <c r="C1309" s="1" t="n">
        <v>45345</v>
      </c>
      <c r="D1309" t="inlineStr">
        <is>
          <t>BLEKINGE LÄN</t>
        </is>
      </c>
      <c r="E1309" t="inlineStr">
        <is>
          <t>KARLSKRONA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5962-2024</t>
        </is>
      </c>
      <c r="B1310" s="1" t="n">
        <v>45335</v>
      </c>
      <c r="C1310" s="1" t="n">
        <v>45345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5964-2024</t>
        </is>
      </c>
      <c r="B1311" s="1" t="n">
        <v>45335</v>
      </c>
      <c r="C1311" s="1" t="n">
        <v>45345</v>
      </c>
      <c r="D1311" t="inlineStr">
        <is>
          <t>BLEKINGE LÄN</t>
        </is>
      </c>
      <c r="E1311" t="inlineStr">
        <is>
          <t>KARLSKRONA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45345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6046-2024</t>
        </is>
      </c>
      <c r="B1313" s="1" t="n">
        <v>45336</v>
      </c>
      <c r="C1313" s="1" t="n">
        <v>45345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6011-2024</t>
        </is>
      </c>
      <c r="B1314" s="1" t="n">
        <v>45336</v>
      </c>
      <c r="C1314" s="1" t="n">
        <v>45345</v>
      </c>
      <c r="D1314" t="inlineStr">
        <is>
          <t>BLEKINGE LÄN</t>
        </is>
      </c>
      <c r="E1314" t="inlineStr">
        <is>
          <t>KARLSKRONA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45345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45345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45345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6852-2024</t>
        </is>
      </c>
      <c r="B1318" s="1" t="n">
        <v>45342</v>
      </c>
      <c r="C1318" s="1" t="n">
        <v>45345</v>
      </c>
      <c r="D1318" t="inlineStr">
        <is>
          <t>BLEKINGE LÄN</t>
        </is>
      </c>
      <c r="E1318" t="inlineStr">
        <is>
          <t>KARLSKRONA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6861-2024</t>
        </is>
      </c>
      <c r="B1319" s="1" t="n">
        <v>45342</v>
      </c>
      <c r="C1319" s="1" t="n">
        <v>45345</v>
      </c>
      <c r="D1319" t="inlineStr">
        <is>
          <t>BLEKINGE LÄN</t>
        </is>
      </c>
      <c r="E1319" t="inlineStr">
        <is>
          <t>KARLSKRONA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6887-2024</t>
        </is>
      </c>
      <c r="B1320" s="1" t="n">
        <v>45342</v>
      </c>
      <c r="C1320" s="1" t="n">
        <v>45345</v>
      </c>
      <c r="D1320" t="inlineStr">
        <is>
          <t>BLEKINGE LÄN</t>
        </is>
      </c>
      <c r="E1320" t="inlineStr">
        <is>
          <t>KARLSKRONA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6855-2024</t>
        </is>
      </c>
      <c r="B1321" s="1" t="n">
        <v>45342</v>
      </c>
      <c r="C1321" s="1" t="n">
        <v>45345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6888-2024</t>
        </is>
      </c>
      <c r="B1322" s="1" t="n">
        <v>45342</v>
      </c>
      <c r="C1322" s="1" t="n">
        <v>45345</v>
      </c>
      <c r="D1322" t="inlineStr">
        <is>
          <t>BLEKINGE LÄN</t>
        </is>
      </c>
      <c r="E1322" t="inlineStr">
        <is>
          <t>KARLSKRONA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7014-2024</t>
        </is>
      </c>
      <c r="B1323" s="1" t="n">
        <v>45343</v>
      </c>
      <c r="C1323" s="1" t="n">
        <v>45345</v>
      </c>
      <c r="D1323" t="inlineStr">
        <is>
          <t>BLEKINGE LÄN</t>
        </is>
      </c>
      <c r="E1323" t="inlineStr">
        <is>
          <t>KARLSKRONA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6967-2024</t>
        </is>
      </c>
      <c r="B1324" s="1" t="n">
        <v>45343</v>
      </c>
      <c r="C1324" s="1" t="n">
        <v>45345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6992-2024</t>
        </is>
      </c>
      <c r="B1325" s="1" t="n">
        <v>45343</v>
      </c>
      <c r="C1325" s="1" t="n">
        <v>45345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7119-2024</t>
        </is>
      </c>
      <c r="B1326" s="1" t="n">
        <v>45344</v>
      </c>
      <c r="C1326" s="1" t="n">
        <v>45345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7117-2024</t>
        </is>
      </c>
      <c r="B1327" s="1" t="n">
        <v>45344</v>
      </c>
      <c r="C1327" s="1" t="n">
        <v>45345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7129-2024</t>
        </is>
      </c>
      <c r="B1328" s="1" t="n">
        <v>45344</v>
      </c>
      <c r="C1328" s="1" t="n">
        <v>45345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7252-2024</t>
        </is>
      </c>
      <c r="B1329" s="1" t="n">
        <v>45344</v>
      </c>
      <c r="C1329" s="1" t="n">
        <v>45345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2024-02-23T06:52:56Z</dcterms:created>
  <dcterms:modified xmlns:dcterms="http://purl.org/dc/terms/" xmlns:xsi="http://www.w3.org/2001/XMLSchema-instance" xsi:type="dcterms:W3CDTF">2024-02-23T06:52:57Z</dcterms:modified>
</cp:coreProperties>
</file>