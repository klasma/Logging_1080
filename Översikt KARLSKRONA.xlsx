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46292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46292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46292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46292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46292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46292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46292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46292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46292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46292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46292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46292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46292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46292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46292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46292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46292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46292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46292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46292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46292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46292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46292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46292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46292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46292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46292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16465-2026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46292</v>
      </c>
      <c r="F42" t="inlineStr">
        <is>
          <t>BLEKINGE LÄN</t>
        </is>
      </c>
      <c r="G42" t="inlineStr">
        <is>
          <t>KARLSKRONA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HYPERLINK("https://klasma.github.io/Logging_1080/artfynd/A 16465-2026 artfynd.xlsx", "A 16465-2026")</f>
        <v/>
      </c>
      <c r="X42">
        <f>HYPERLINK("https://klasma.github.io/Logging_1080/kartor/A 16465-2026 karta.png", "A 16465-2026")</f>
        <v/>
      </c>
      <c r="Y42">
        <f>HYPERLINK("https://klasma.github.io/Logging_1080/kartor_geotiff/A 16465-2026 georefererad karta.tif", "A 16465-2026")</f>
        <v/>
      </c>
      <c r="AA42">
        <f>HYPERLINK("https://klasma.github.io/Logging_1080/klagomål/A 16465-2026 FSC-klagomål.docx", "A 16465-2026")</f>
        <v/>
      </c>
      <c r="AB42">
        <f>HYPERLINK("https://klasma.github.io/Logging_1080/klagomålsmail/A 16465-2026 FSC-klagomål mail.docx", "A 16465-2026")</f>
        <v/>
      </c>
      <c r="AC42">
        <f>HYPERLINK("https://klasma.github.io/Logging_1080/tillsyn/A 16465-2026 tillsynsbegäran.docx", "A 16465-2026")</f>
        <v/>
      </c>
      <c r="AD42">
        <f>HYPERLINK("https://klasma.github.io/Logging_1080/tillsynsmail/A 16465-2026 tillsynsbegäran mail.docx", "A 16465-2026")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46292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18052-2026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46125</v>
      </c>
      <c r="E44" s="1" t="n">
        <v>46292</v>
      </c>
      <c r="F44" t="inlineStr">
        <is>
          <t>BLEKINGE LÄN</t>
        </is>
      </c>
      <c r="G44" t="inlineStr">
        <is>
          <t>KARLSKRONA</t>
        </is>
      </c>
      <c r="I44" t="n">
        <v>4.5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HYPERLINK("https://klasma.github.io/Logging_1080/artfynd/A 18052-2026 artfynd.xlsx", "A 18052-2026")</f>
        <v/>
      </c>
      <c r="X44">
        <f>HYPERLINK("https://klasma.github.io/Logging_1080/kartor/A 18052-2026 karta.png", "A 18052-2026")</f>
        <v/>
      </c>
      <c r="Y44">
        <f>HYPERLINK("https://klasma.github.io/Logging_1080/kartor_geotiff/A 18052-2026 georefererad karta.tif", "A 18052-2026")</f>
        <v/>
      </c>
      <c r="AA44">
        <f>HYPERLINK("https://klasma.github.io/Logging_1080/klagomål/A 18052-2026 FSC-klagomål.docx", "A 18052-2026")</f>
        <v/>
      </c>
      <c r="AB44">
        <f>HYPERLINK("https://klasma.github.io/Logging_1080/klagomålsmail/A 18052-2026 FSC-klagomål mail.docx", "A 18052-2026")</f>
        <v/>
      </c>
      <c r="AC44">
        <f>HYPERLINK("https://klasma.github.io/Logging_1080/tillsyn/A 18052-2026 tillsynsbegäran.docx", "A 18052-2026")</f>
        <v/>
      </c>
      <c r="AD44">
        <f>HYPERLINK("https://klasma.github.io/Logging_1080/tillsynsmail/A 18052-2026 tillsynsbegäran mail.docx", "A 18052-2026")</f>
        <v/>
      </c>
    </row>
    <row r="45" ht="15" customHeight="1">
      <c r="A45" t="inlineStr">
        <is>
          <t>A 9378-2026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46292</v>
      </c>
      <c r="F45" t="inlineStr">
        <is>
          <t>BLEKINGE LÄN</t>
        </is>
      </c>
      <c r="G45" t="inlineStr">
        <is>
          <t>KARLSKRONA</t>
        </is>
      </c>
      <c r="I45" t="n">
        <v>3.9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Hårklomossa</t>
        </is>
      </c>
      <c r="W45">
        <f>HYPERLINK("https://klasma.github.io/Logging_1080/artfynd/A 9378-2026 artfynd.xlsx", "A 9378-2026")</f>
        <v/>
      </c>
      <c r="X45">
        <f>HYPERLINK("https://klasma.github.io/Logging_1080/kartor/A 9378-2026 karta.png", "A 9378-2026")</f>
        <v/>
      </c>
      <c r="Y45">
        <f>HYPERLINK("https://klasma.github.io/Logging_1080/kartor_geotiff/A 9378-2026 georefererad karta.tif", "A 9378-2026")</f>
        <v/>
      </c>
      <c r="AA45">
        <f>HYPERLINK("https://klasma.github.io/Logging_1080/klagomål/A 9378-2026 FSC-klagomål.docx", "A 9378-2026")</f>
        <v/>
      </c>
      <c r="AB45">
        <f>HYPERLINK("https://klasma.github.io/Logging_1080/klagomålsmail/A 9378-2026 FSC-klagomål mail.docx", "A 9378-2026")</f>
        <v/>
      </c>
      <c r="AC45">
        <f>HYPERLINK("https://klasma.github.io/Logging_1080/tillsyn/A 9378-2026 tillsynsbegäran.docx", "A 9378-2026")</f>
        <v/>
      </c>
      <c r="AD45">
        <f>HYPERLINK("https://klasma.github.io/Logging_1080/tillsynsmail/A 9378-2026 tillsynsbegäran mail.docx", "A 9378-2026")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46292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44576-2025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45917</v>
      </c>
      <c r="E47" s="1" t="n">
        <v>46292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44576-2025 artfynd.xlsx", "A 44576-2025")</f>
        <v/>
      </c>
      <c r="X47">
        <f>HYPERLINK("https://klasma.github.io/Logging_1080/kartor/A 44576-2025 karta.png", "A 44576-2025")</f>
        <v/>
      </c>
      <c r="Y47">
        <f>HYPERLINK("https://klasma.github.io/Logging_1080/kartor_geotiff/A 44576-2025 georefererad karta.tif", "A 44576-2025")</f>
        <v/>
      </c>
      <c r="AA47">
        <f>HYPERLINK("https://klasma.github.io/Logging_1080/klagomål/A 44576-2025 FSC-klagomål.docx", "A 44576-2025")</f>
        <v/>
      </c>
      <c r="AB47">
        <f>HYPERLINK("https://klasma.github.io/Logging_1080/klagomålsmail/A 44576-2025 FSC-klagomål mail.docx", "A 44576-2025")</f>
        <v/>
      </c>
      <c r="AC47">
        <f>HYPERLINK("https://klasma.github.io/Logging_1080/tillsyn/A 44576-2025 tillsynsbegäran.docx", "A 44576-2025")</f>
        <v/>
      </c>
      <c r="AD47">
        <f>HYPERLINK("https://klasma.github.io/Logging_1080/tillsynsmail/A 44576-2025 tillsynsbegäran mail.docx", "A 44576-2025")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46292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42437-2025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46292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Ekoxe</t>
        </is>
      </c>
      <c r="W49">
        <f>HYPERLINK("https://klasma.github.io/Logging_1080/artfynd/A 42437-2025 artfynd.xlsx", "A 42437-2025")</f>
        <v/>
      </c>
      <c r="X49">
        <f>HYPERLINK("https://klasma.github.io/Logging_1080/kartor/A 42437-2025 karta.png", "A 42437-2025")</f>
        <v/>
      </c>
      <c r="Y49">
        <f>HYPERLINK("https://klasma.github.io/Logging_1080/kartor_geotiff/A 42437-2025 georefererad karta.tif", "A 42437-2025")</f>
        <v/>
      </c>
      <c r="AA49">
        <f>HYPERLINK("https://klasma.github.io/Logging_1080/klagomål/A 42437-2025 FSC-klagomål.docx", "A 42437-2025")</f>
        <v/>
      </c>
      <c r="AB49">
        <f>HYPERLINK("https://klasma.github.io/Logging_1080/klagomålsmail/A 42437-2025 FSC-klagomål mail.docx", "A 42437-2025")</f>
        <v/>
      </c>
      <c r="AC49">
        <f>HYPERLINK("https://klasma.github.io/Logging_1080/tillsyn/A 42437-2025 tillsynsbegäran.docx", "A 42437-2025")</f>
        <v/>
      </c>
      <c r="AD49">
        <f>HYPERLINK("https://klasma.github.io/Logging_1080/tillsynsmail/A 42437-2025 tillsynsbegäran mail.docx", "A 42437-2025")</f>
        <v/>
      </c>
    </row>
    <row r="50" ht="15" customHeight="1">
      <c r="A50" t="inlineStr">
        <is>
          <t>A 20881-2026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46142</v>
      </c>
      <c r="E50" s="1" t="n">
        <v>46292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HYPERLINK("https://klasma.github.io/Logging_1080/artfynd/A 20881-2026 artfynd.xlsx", "A 20881-2026")</f>
        <v/>
      </c>
      <c r="X50">
        <f>HYPERLINK("https://klasma.github.io/Logging_1080/kartor/A 20881-2026 karta.png", "A 20881-2026")</f>
        <v/>
      </c>
      <c r="Y50">
        <f>HYPERLINK("https://klasma.github.io/Logging_1080/kartor_geotiff/A 20881-2026 georefererad karta.tif", "A 20881-2026")</f>
        <v/>
      </c>
      <c r="AA50">
        <f>HYPERLINK("https://klasma.github.io/Logging_1080/klagomål/A 20881-2026 FSC-klagomål.docx", "A 20881-2026")</f>
        <v/>
      </c>
      <c r="AB50">
        <f>HYPERLINK("https://klasma.github.io/Logging_1080/klagomålsmail/A 20881-2026 FSC-klagomål mail.docx", "A 20881-2026")</f>
        <v/>
      </c>
      <c r="AC50">
        <f>HYPERLINK("https://klasma.github.io/Logging_1080/tillsyn/A 20881-2026 tillsynsbegäran.docx", "A 20881-2026")</f>
        <v/>
      </c>
      <c r="AD50">
        <f>HYPERLINK("https://klasma.github.io/Logging_1080/tillsynsmail/A 20881-2026 tillsynsbegäran mail.docx", "A 20881-2026")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46292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46292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34609-2025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46292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34609-2025 artfynd.xlsx", "A 34609-2025")</f>
        <v/>
      </c>
      <c r="X53">
        <f>HYPERLINK("https://klasma.github.io/Logging_1080/kartor/A 34609-2025 karta.png", "A 34609-2025")</f>
        <v/>
      </c>
      <c r="Y53">
        <f>HYPERLINK("https://klasma.github.io/Logging_1080/kartor_geotiff/A 34609-2025 georefererad karta.tif", "A 34609-2025")</f>
        <v/>
      </c>
      <c r="AA53">
        <f>HYPERLINK("https://klasma.github.io/Logging_1080/klagomål/A 34609-2025 FSC-klagomål.docx", "A 34609-2025")</f>
        <v/>
      </c>
      <c r="AB53">
        <f>HYPERLINK("https://klasma.github.io/Logging_1080/klagomålsmail/A 34609-2025 FSC-klagomål mail.docx", "A 34609-2025")</f>
        <v/>
      </c>
      <c r="AC53">
        <f>HYPERLINK("https://klasma.github.io/Logging_1080/tillsyn/A 34609-2025 tillsynsbegäran.docx", "A 34609-2025")</f>
        <v/>
      </c>
      <c r="AD53">
        <f>HYPERLINK("https://klasma.github.io/Logging_1080/tillsynsmail/A 34609-2025 tillsynsbegäran mail.docx", "A 34609-2025")</f>
        <v/>
      </c>
    </row>
    <row r="54" ht="15" customHeight="1">
      <c r="A54" t="inlineStr">
        <is>
          <t>A 27203-2026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46292</v>
      </c>
      <c r="F54" t="inlineStr">
        <is>
          <t>BLEKINGE LÄN</t>
        </is>
      </c>
      <c r="G54" t="inlineStr">
        <is>
          <t>KARLSKRONA</t>
        </is>
      </c>
      <c r="I54" t="n">
        <v>2.8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HYPERLINK("https://klasma.github.io/Logging_1080/artfynd/A 27203-2026 artfynd.xlsx", "A 27203-2026")</f>
        <v/>
      </c>
      <c r="X54">
        <f>HYPERLINK("https://klasma.github.io/Logging_1080/kartor/A 27203-2026 karta.png", "A 27203-2026")</f>
        <v/>
      </c>
      <c r="Y54">
        <f>HYPERLINK("https://klasma.github.io/Logging_1080/kartor_geotiff/A 27203-2026 georefererad karta.tif", "A 27203-2026")</f>
        <v/>
      </c>
      <c r="AA54">
        <f>HYPERLINK("https://klasma.github.io/Logging_1080/klagomål/A 27203-2026 FSC-klagomål.docx", "A 27203-2026")</f>
        <v/>
      </c>
      <c r="AB54">
        <f>HYPERLINK("https://klasma.github.io/Logging_1080/klagomålsmail/A 27203-2026 FSC-klagomål mail.docx", "A 27203-2026")</f>
        <v/>
      </c>
      <c r="AC54">
        <f>HYPERLINK("https://klasma.github.io/Logging_1080/tillsyn/A 27203-2026 tillsynsbegäran.docx", "A 27203-2026")</f>
        <v/>
      </c>
      <c r="AD54">
        <f>HYPERLINK("https://klasma.github.io/Logging_1080/tillsynsmail/A 27203-2026 tillsynsbegäran mail.docx", "A 27203-2026")</f>
        <v/>
      </c>
      <c r="AE54">
        <f>HYPERLINK("https://klasma.github.io/Logging_1080/fåglar/A 27203-2026 prioriterade fågelarter.docx", "A 27203-2026")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46292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19602-2023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46292</v>
      </c>
      <c r="F56" t="inlineStr">
        <is>
          <t>BLEKINGE LÄN</t>
        </is>
      </c>
      <c r="G56" t="inlineStr">
        <is>
          <t>KARLSKRONA</t>
        </is>
      </c>
      <c r="I56" t="n">
        <v>19.5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Backsippa</t>
        </is>
      </c>
      <c r="W56">
        <f>HYPERLINK("https://klasma.github.io/Logging_1080/artfynd/A 19602-2023 artfynd.xlsx", "A 19602-2023")</f>
        <v/>
      </c>
      <c r="X56">
        <f>HYPERLINK("https://klasma.github.io/Logging_1080/kartor/A 19602-2023 karta.png", "A 19602-2023")</f>
        <v/>
      </c>
      <c r="Y56">
        <f>HYPERLINK("https://klasma.github.io/Logging_1080/kartor_geotiff/A 19602-2023 georefererad karta.tif", "A 19602-2023")</f>
        <v/>
      </c>
      <c r="AA56">
        <f>HYPERLINK("https://klasma.github.io/Logging_1080/klagomål/A 19602-2023 FSC-klagomål.docx", "A 19602-2023")</f>
        <v/>
      </c>
      <c r="AB56">
        <f>HYPERLINK("https://klasma.github.io/Logging_1080/klagomålsmail/A 19602-2023 FSC-klagomål mail.docx", "A 19602-2023")</f>
        <v/>
      </c>
      <c r="AC56">
        <f>HYPERLINK("https://klasma.github.io/Logging_1080/tillsyn/A 19602-2023 tillsynsbegäran.docx", "A 19602-2023")</f>
        <v/>
      </c>
      <c r="AD56">
        <f>HYPERLINK("https://klasma.github.io/Logging_1080/tillsynsmail/A 19602-2023 tillsynsbegäran mail.docx", "A 19602-2023")</f>
        <v/>
      </c>
    </row>
    <row r="57" ht="15" customHeight="1">
      <c r="A57" t="inlineStr">
        <is>
          <t>A 33822-2026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46292</v>
      </c>
      <c r="F57" t="inlineStr">
        <is>
          <t>BLEKINGE LÄN</t>
        </is>
      </c>
      <c r="G57" t="inlineStr">
        <is>
          <t>KARLSKRONA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HYPERLINK("https://klasma.github.io/Logging_1080/artfynd/A 33822-2026 artfynd.xlsx", "A 33822-2026")</f>
        <v/>
      </c>
      <c r="X57">
        <f>HYPERLINK("https://klasma.github.io/Logging_1080/kartor/A 33822-2026 karta.png", "A 33822-2026")</f>
        <v/>
      </c>
      <c r="Y57">
        <f>HYPERLINK("https://klasma.github.io/Logging_1080/kartor_geotiff/A 33822-2026 georefererad karta.tif", "A 33822-2026")</f>
        <v/>
      </c>
      <c r="AA57">
        <f>HYPERLINK("https://klasma.github.io/Logging_1080/klagomål/A 33822-2026 FSC-klagomål.docx", "A 33822-2026")</f>
        <v/>
      </c>
      <c r="AB57">
        <f>HYPERLINK("https://klasma.github.io/Logging_1080/klagomålsmail/A 33822-2026 FSC-klagomål mail.docx", "A 33822-2026")</f>
        <v/>
      </c>
      <c r="AC57">
        <f>HYPERLINK("https://klasma.github.io/Logging_1080/tillsyn/A 33822-2026 tillsynsbegäran.docx", "A 33822-2026")</f>
        <v/>
      </c>
      <c r="AD57">
        <f>HYPERLINK("https://klasma.github.io/Logging_1080/tillsynsmail/A 33822-2026 tillsynsbegäran mail.docx", "A 33822-2026")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46292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46292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46292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46292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46292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46292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46292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24942-2023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46292</v>
      </c>
      <c r="F65" t="inlineStr">
        <is>
          <t>BLEKINGE LÄN</t>
        </is>
      </c>
      <c r="G65" t="inlineStr">
        <is>
          <t>KARLSKRONA</t>
        </is>
      </c>
      <c r="I65" t="n">
        <v>1.4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Stortimjan</t>
        </is>
      </c>
      <c r="W65">
        <f>HYPERLINK("https://klasma.github.io/Logging_1080/artfynd/A 24942-2023 artfynd.xlsx", "A 24942-2023")</f>
        <v/>
      </c>
      <c r="X65">
        <f>HYPERLINK("https://klasma.github.io/Logging_1080/kartor/A 24942-2023 karta.png", "A 24942-2023")</f>
        <v/>
      </c>
      <c r="Y65">
        <f>HYPERLINK("https://klasma.github.io/Logging_1080/kartor_geotiff/A 24942-2023 georefererad karta.tif", "A 24942-2023")</f>
        <v/>
      </c>
      <c r="AA65">
        <f>HYPERLINK("https://klasma.github.io/Logging_1080/klagomål/A 24942-2023 FSC-klagomål.docx", "A 24942-2023")</f>
        <v/>
      </c>
      <c r="AB65">
        <f>HYPERLINK("https://klasma.github.io/Logging_1080/klagomålsmail/A 24942-2023 FSC-klagomål mail.docx", "A 24942-2023")</f>
        <v/>
      </c>
      <c r="AC65">
        <f>HYPERLINK("https://klasma.github.io/Logging_1080/tillsyn/A 24942-2023 tillsynsbegäran.docx", "A 24942-2023")</f>
        <v/>
      </c>
      <c r="AD65">
        <f>HYPERLINK("https://klasma.github.io/Logging_1080/tillsynsmail/A 24942-2023 tillsynsbegäran mail.docx", "A 24942-2023")</f>
        <v/>
      </c>
    </row>
    <row r="66" ht="15" customHeight="1">
      <c r="A66" t="inlineStr">
        <is>
          <t>A 13533-2024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45387</v>
      </c>
      <c r="E66" s="1" t="n">
        <v>46292</v>
      </c>
      <c r="F66" t="inlineStr">
        <is>
          <t>BLEKINGE LÄN</t>
        </is>
      </c>
      <c r="G66" t="inlineStr">
        <is>
          <t>KARLSKRONA</t>
        </is>
      </c>
      <c r="I66" t="n">
        <v>1.3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Polabiskt björnbär</t>
        </is>
      </c>
      <c r="W66">
        <f>HYPERLINK("https://klasma.github.io/Logging_1080/artfynd/A 13533-2024 artfynd.xlsx", "A 13533-2024")</f>
        <v/>
      </c>
      <c r="X66">
        <f>HYPERLINK("https://klasma.github.io/Logging_1080/kartor/A 13533-2024 karta.png", "A 13533-2024")</f>
        <v/>
      </c>
      <c r="Y66">
        <f>HYPERLINK("https://klasma.github.io/Logging_1080/kartor_geotiff/A 13533-2024 georefererad karta.tif", "A 13533-2024")</f>
        <v/>
      </c>
      <c r="AA66">
        <f>HYPERLINK("https://klasma.github.io/Logging_1080/klagomål/A 13533-2024 FSC-klagomål.docx", "A 13533-2024")</f>
        <v/>
      </c>
      <c r="AB66">
        <f>HYPERLINK("https://klasma.github.io/Logging_1080/klagomålsmail/A 13533-2024 FSC-klagomål mail.docx", "A 13533-2024")</f>
        <v/>
      </c>
      <c r="AC66">
        <f>HYPERLINK("https://klasma.github.io/Logging_1080/tillsyn/A 13533-2024 tillsynsbegäran.docx", "A 13533-2024")</f>
        <v/>
      </c>
      <c r="AD66">
        <f>HYPERLINK("https://klasma.github.io/Logging_1080/tillsynsmail/A 13533-2024 tillsynsbegäran mail.docx", "A 13533-2024")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46292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46292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46292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46292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46292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46292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46292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46292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46292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46292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46292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46292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46292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46292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46292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46292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46292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46292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46292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46292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46292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46292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46292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46292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46292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46292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46292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46292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46292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46292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46292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46292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46292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46292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46292</v>
      </c>
      <c r="F102" t="inlineStr">
        <is>
          <t>BLEKINGE LÄN</t>
        </is>
      </c>
      <c r="G102" t="inlineStr">
        <is>
          <t>KARLSKRONA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46292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46292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46292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46292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46292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46292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46292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46292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46292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46292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46292</v>
      </c>
      <c r="F113" t="inlineStr">
        <is>
          <t>BLEKINGE LÄN</t>
        </is>
      </c>
      <c r="G113" t="inlineStr">
        <is>
          <t>KARLSKRONA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46292</v>
      </c>
      <c r="F114" t="inlineStr">
        <is>
          <t>BLEKINGE LÄN</t>
        </is>
      </c>
      <c r="G114" t="inlineStr">
        <is>
          <t>KARLSKRONA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46292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46292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46292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46292</v>
      </c>
      <c r="F118" t="inlineStr">
        <is>
          <t>BLEKINGE LÄN</t>
        </is>
      </c>
      <c r="G118" t="inlineStr">
        <is>
          <t>KARLSKRONA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71518-2021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46292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46292</v>
      </c>
      <c r="F120" t="inlineStr">
        <is>
          <t>BLEKINGE LÄN</t>
        </is>
      </c>
      <c r="G120" t="inlineStr">
        <is>
          <t>KARLSKRONA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46292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44524</v>
      </c>
      <c r="E122" s="1" t="n">
        <v>46292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46292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46292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46292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46292</v>
      </c>
      <c r="F126" t="inlineStr">
        <is>
          <t>BLEKINGE LÄN</t>
        </is>
      </c>
      <c r="G126" t="inlineStr">
        <is>
          <t>KARLSKRONA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46292</v>
      </c>
      <c r="F127" t="inlineStr">
        <is>
          <t>BLEKINGE LÄN</t>
        </is>
      </c>
      <c r="G127" t="inlineStr">
        <is>
          <t>KARLSKRONA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46292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46292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46292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46292</v>
      </c>
      <c r="F131" t="inlineStr">
        <is>
          <t>BLEKINGE LÄN</t>
        </is>
      </c>
      <c r="G131" t="inlineStr">
        <is>
          <t>KARLSKRONA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46292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46292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59839-2021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46292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46292</v>
      </c>
      <c r="F135" t="inlineStr">
        <is>
          <t>BLEKINGE LÄN</t>
        </is>
      </c>
      <c r="G135" t="inlineStr">
        <is>
          <t>KARLSKRONA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46292</v>
      </c>
      <c r="F136" t="inlineStr">
        <is>
          <t>BLEKINGE LÄN</t>
        </is>
      </c>
      <c r="G136" t="inlineStr">
        <is>
          <t>KARLSKRONA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46292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53045-2021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44467</v>
      </c>
      <c r="E138" s="1" t="n">
        <v>46292</v>
      </c>
      <c r="F138" t="inlineStr">
        <is>
          <t>BLEKINGE LÄN</t>
        </is>
      </c>
      <c r="G138" t="inlineStr">
        <is>
          <t>KARLSKRONA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44592</v>
      </c>
      <c r="E139" s="1" t="n">
        <v>46292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46292</v>
      </c>
      <c r="F140" t="inlineStr">
        <is>
          <t>BLEKINGE LÄN</t>
        </is>
      </c>
      <c r="G140" t="inlineStr">
        <is>
          <t>KARLSKRONA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46292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46292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46292</v>
      </c>
      <c r="F143" t="inlineStr">
        <is>
          <t>BLEKINGE LÄN</t>
        </is>
      </c>
      <c r="G143" t="inlineStr">
        <is>
          <t>KARLSKRONA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46292</v>
      </c>
      <c r="F144" t="inlineStr">
        <is>
          <t>BLEKINGE LÄN</t>
        </is>
      </c>
      <c r="G144" t="inlineStr">
        <is>
          <t>KARLSKRONA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44657</v>
      </c>
      <c r="E145" s="1" t="n">
        <v>46292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46292</v>
      </c>
      <c r="F146" t="inlineStr">
        <is>
          <t>BLEKINGE LÄN</t>
        </is>
      </c>
      <c r="G146" t="inlineStr">
        <is>
          <t>KARLSKRONA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46292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46292</v>
      </c>
      <c r="F148" t="inlineStr">
        <is>
          <t>BLEKINGE LÄN</t>
        </is>
      </c>
      <c r="G148" t="inlineStr">
        <is>
          <t>KARLSKRONA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46292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46292</v>
      </c>
      <c r="F150" t="inlineStr">
        <is>
          <t>BLEKINGE LÄN</t>
        </is>
      </c>
      <c r="G150" t="inlineStr">
        <is>
          <t>KARLSKRONA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46292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45247</v>
      </c>
      <c r="E152" s="1" t="n">
        <v>46292</v>
      </c>
      <c r="F152" t="inlineStr">
        <is>
          <t>BLEKINGE LÄN</t>
        </is>
      </c>
      <c r="G152" t="inlineStr">
        <is>
          <t>KARLSKRONA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46292</v>
      </c>
      <c r="F153" t="inlineStr">
        <is>
          <t>BLEKINGE LÄN</t>
        </is>
      </c>
      <c r="G153" t="inlineStr">
        <is>
          <t>KARLSKRONA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46292</v>
      </c>
      <c r="F154" t="inlineStr">
        <is>
          <t>BLEKINGE LÄN</t>
        </is>
      </c>
      <c r="G154" t="inlineStr">
        <is>
          <t>KARLSKRONA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46292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46292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44825</v>
      </c>
      <c r="E157" s="1" t="n">
        <v>46292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46292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46292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46292</v>
      </c>
      <c r="F160" t="inlineStr">
        <is>
          <t>BLEKINGE LÄN</t>
        </is>
      </c>
      <c r="G160" t="inlineStr">
        <is>
          <t>KARLSKRONA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46292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46292</v>
      </c>
      <c r="F162" t="inlineStr">
        <is>
          <t>BLEKINGE LÄN</t>
        </is>
      </c>
      <c r="G162" t="inlineStr">
        <is>
          <t>KARLSKRONA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46292</v>
      </c>
      <c r="F163" t="inlineStr">
        <is>
          <t>BLEKINGE LÄN</t>
        </is>
      </c>
      <c r="G163" t="inlineStr">
        <is>
          <t>KARLSKRONA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46292</v>
      </c>
      <c r="F164" t="inlineStr">
        <is>
          <t>BLEKINGE LÄN</t>
        </is>
      </c>
      <c r="G164" t="inlineStr">
        <is>
          <t>KARLSKRONA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45321</v>
      </c>
      <c r="E165" s="1" t="n">
        <v>46292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46292</v>
      </c>
      <c r="F166" t="inlineStr">
        <is>
          <t>BLEKINGE LÄN</t>
        </is>
      </c>
      <c r="G166" t="inlineStr">
        <is>
          <t>KARLSKRONA</t>
        </is>
      </c>
      <c r="I166" t="n">
        <v>23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48999-2022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46292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46292</v>
      </c>
      <c r="F168" t="inlineStr">
        <is>
          <t>BLEKINGE LÄN</t>
        </is>
      </c>
      <c r="G168" t="inlineStr">
        <is>
          <t>KARLSKRONA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46292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46292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46292</v>
      </c>
      <c r="F171" t="inlineStr">
        <is>
          <t>BLEKINGE LÄN</t>
        </is>
      </c>
      <c r="G171" t="inlineStr">
        <is>
          <t>KARLSKRONA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44876</v>
      </c>
      <c r="E172" s="1" t="n">
        <v>46292</v>
      </c>
      <c r="F172" t="inlineStr">
        <is>
          <t>BLEKINGE LÄN</t>
        </is>
      </c>
      <c r="G172" t="inlineStr">
        <is>
          <t>KARLSKRONA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45455</v>
      </c>
      <c r="E173" s="1" t="n">
        <v>46292</v>
      </c>
      <c r="F173" t="inlineStr">
        <is>
          <t>BLEKINGE LÄN</t>
        </is>
      </c>
      <c r="G173" t="inlineStr">
        <is>
          <t>KARLSKRONA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46292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45526</v>
      </c>
      <c r="E175" s="1" t="n">
        <v>46292</v>
      </c>
      <c r="F175" t="inlineStr">
        <is>
          <t>BLEKINGE LÄN</t>
        </is>
      </c>
      <c r="G175" t="inlineStr">
        <is>
          <t>KARLSKRONA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46292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46292</v>
      </c>
      <c r="F177" t="inlineStr">
        <is>
          <t>BLEKINGE LÄN</t>
        </is>
      </c>
      <c r="G177" t="inlineStr">
        <is>
          <t>KARLSKRONA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46292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46292</v>
      </c>
      <c r="F179" t="inlineStr">
        <is>
          <t>BLEKINGE LÄN</t>
        </is>
      </c>
      <c r="G179" t="inlineStr">
        <is>
          <t>KARLSKRONA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46292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34283-2023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46292</v>
      </c>
      <c r="F181" t="inlineStr">
        <is>
          <t>BLEKINGE LÄN</t>
        </is>
      </c>
      <c r="G181" t="inlineStr">
        <is>
          <t>KARLSKRONA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21880-2024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45443</v>
      </c>
      <c r="E182" s="1" t="n">
        <v>46292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46292</v>
      </c>
      <c r="F183" t="inlineStr">
        <is>
          <t>BLEKINGE LÄN</t>
        </is>
      </c>
      <c r="G183" t="inlineStr">
        <is>
          <t>KARLSKRONA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46292</v>
      </c>
      <c r="F184" t="inlineStr">
        <is>
          <t>BLEKINGE LÄN</t>
        </is>
      </c>
      <c r="G184" t="inlineStr">
        <is>
          <t>KARLSKRONA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46292</v>
      </c>
      <c r="F185" t="inlineStr">
        <is>
          <t>BLEKINGE LÄN</t>
        </is>
      </c>
      <c r="G185" t="inlineStr">
        <is>
          <t>KARLSKRONA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46292</v>
      </c>
      <c r="F186" t="inlineStr">
        <is>
          <t>BLEKINGE LÄN</t>
        </is>
      </c>
      <c r="G186" t="inlineStr">
        <is>
          <t>KARLSKRONA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45797</v>
      </c>
      <c r="E187" s="1" t="n">
        <v>46292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45797</v>
      </c>
      <c r="E188" s="1" t="n">
        <v>46292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46292</v>
      </c>
      <c r="F189" t="inlineStr">
        <is>
          <t>BLEKINGE LÄN</t>
        </is>
      </c>
      <c r="G189" t="inlineStr">
        <is>
          <t>KARLSKRONA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46292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45749</v>
      </c>
      <c r="E191" s="1" t="n">
        <v>46292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46292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46292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46292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46292</v>
      </c>
      <c r="F195" t="inlineStr">
        <is>
          <t>BLEKINGE LÄN</t>
        </is>
      </c>
      <c r="G195" t="inlineStr">
        <is>
          <t>KARLSKRONA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46292</v>
      </c>
      <c r="F196" t="inlineStr">
        <is>
          <t>BLEKINGE LÄN</t>
        </is>
      </c>
      <c r="G196" t="inlineStr">
        <is>
          <t>KARLSKRONA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46292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46292</v>
      </c>
      <c r="F198" t="inlineStr">
        <is>
          <t>BLEKINGE LÄN</t>
        </is>
      </c>
      <c r="G198" t="inlineStr">
        <is>
          <t>KARLSKRONA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46292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46292</v>
      </c>
      <c r="F200" t="inlineStr">
        <is>
          <t>BLEKINGE LÄN</t>
        </is>
      </c>
      <c r="G200" t="inlineStr">
        <is>
          <t>KARLSKRONA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46292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45499</v>
      </c>
      <c r="E202" s="1" t="n">
        <v>46292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46292</v>
      </c>
      <c r="F203" t="inlineStr">
        <is>
          <t>BLEKINGE LÄN</t>
        </is>
      </c>
      <c r="G203" t="inlineStr">
        <is>
          <t>KARLSKRONA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45373</v>
      </c>
      <c r="E204" s="1" t="n">
        <v>46292</v>
      </c>
      <c r="F204" t="inlineStr">
        <is>
          <t>BLEKINGE LÄN</t>
        </is>
      </c>
      <c r="G204" t="inlineStr">
        <is>
          <t>KARLSKRONA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46292</v>
      </c>
      <c r="F205" t="inlineStr">
        <is>
          <t>BLEKINGE LÄN</t>
        </is>
      </c>
      <c r="G205" t="inlineStr">
        <is>
          <t>KARLSKRONA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46292</v>
      </c>
      <c r="F206" t="inlineStr">
        <is>
          <t>BLEKINGE LÄN</t>
        </is>
      </c>
      <c r="G206" t="inlineStr">
        <is>
          <t>KARLSKRONA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45647</v>
      </c>
      <c r="E207" s="1" t="n">
        <v>46292</v>
      </c>
      <c r="F207" t="inlineStr">
        <is>
          <t>BLEKINGE LÄN</t>
        </is>
      </c>
      <c r="G207" t="inlineStr">
        <is>
          <t>KARLSKRONA</t>
        </is>
      </c>
      <c r="I207" t="n">
        <v>20.2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46055</v>
      </c>
      <c r="E208" s="1" t="n">
        <v>46292</v>
      </c>
      <c r="F208" t="inlineStr">
        <is>
          <t>BLEKINGE LÄN</t>
        </is>
      </c>
      <c r="G208" t="inlineStr">
        <is>
          <t>KARLSKRONA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46292</v>
      </c>
      <c r="F209" t="inlineStr">
        <is>
          <t>BLEKINGE LÄN</t>
        </is>
      </c>
      <c r="G209" t="inlineStr">
        <is>
          <t>KARLSKRONA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45551</v>
      </c>
      <c r="E210" s="1" t="n">
        <v>46292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44584</v>
      </c>
      <c r="E211" s="1" t="n">
        <v>46292</v>
      </c>
      <c r="F211" t="inlineStr">
        <is>
          <t>BLEKINGE LÄN</t>
        </is>
      </c>
      <c r="G211" t="inlineStr">
        <is>
          <t>KARLSKRONA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46292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46049</v>
      </c>
      <c r="E213" s="1" t="n">
        <v>46292</v>
      </c>
      <c r="F213" t="inlineStr">
        <is>
          <t>BLEKINGE LÄN</t>
        </is>
      </c>
      <c r="G213" t="inlineStr">
        <is>
          <t>KARLSKRONA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46292</v>
      </c>
      <c r="F214" t="inlineStr">
        <is>
          <t>BLEKINGE LÄN</t>
        </is>
      </c>
      <c r="G214" t="inlineStr">
        <is>
          <t>KARLSKRONA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46292</v>
      </c>
      <c r="F215" t="inlineStr">
        <is>
          <t>BLEKINGE LÄN</t>
        </is>
      </c>
      <c r="G215" t="inlineStr">
        <is>
          <t>KARLSKRONA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46292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46292</v>
      </c>
      <c r="F217" t="inlineStr">
        <is>
          <t>BLEKINGE LÄN</t>
        </is>
      </c>
      <c r="G217" t="inlineStr">
        <is>
          <t>KARLSKRONA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46292</v>
      </c>
      <c r="F218" t="inlineStr">
        <is>
          <t>BLEKINGE LÄN</t>
        </is>
      </c>
      <c r="G218" t="inlineStr">
        <is>
          <t>KARLSKRONA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44614</v>
      </c>
      <c r="E219" s="1" t="n">
        <v>46292</v>
      </c>
      <c r="F219" t="inlineStr">
        <is>
          <t>BLEKINGE LÄN</t>
        </is>
      </c>
      <c r="G219" t="inlineStr">
        <is>
          <t>KARLSKRONA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46292</v>
      </c>
      <c r="F220" t="inlineStr">
        <is>
          <t>BLEKINGE LÄN</t>
        </is>
      </c>
      <c r="G220" t="inlineStr">
        <is>
          <t>KARLSKRONA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46292</v>
      </c>
      <c r="F221" t="inlineStr">
        <is>
          <t>BLEKINGE LÄN</t>
        </is>
      </c>
      <c r="G221" t="inlineStr">
        <is>
          <t>KARLSKRONA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46292</v>
      </c>
      <c r="F222" t="inlineStr">
        <is>
          <t>BLEKINGE LÄN</t>
        </is>
      </c>
      <c r="G222" t="inlineStr">
        <is>
          <t>KARLSKRONA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46292</v>
      </c>
      <c r="F223" t="inlineStr">
        <is>
          <t>BLEKINGE LÄN</t>
        </is>
      </c>
      <c r="G223" t="inlineStr">
        <is>
          <t>KARLSKRONA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46292</v>
      </c>
      <c r="F224" t="inlineStr">
        <is>
          <t>BLEKINGE LÄN</t>
        </is>
      </c>
      <c r="G224" t="inlineStr">
        <is>
          <t>KARLSKRONA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46051</v>
      </c>
      <c r="E225" s="1" t="n">
        <v>46292</v>
      </c>
      <c r="F225" t="inlineStr">
        <is>
          <t>BLEKINGE LÄN</t>
        </is>
      </c>
      <c r="G225" t="inlineStr">
        <is>
          <t>KARLSKRONA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46292</v>
      </c>
      <c r="F226" t="inlineStr">
        <is>
          <t>BLEKINGE LÄN</t>
        </is>
      </c>
      <c r="G226" t="inlineStr">
        <is>
          <t>KARLSKRONA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46292</v>
      </c>
      <c r="F227" t="inlineStr">
        <is>
          <t>BLEKINGE LÄN</t>
        </is>
      </c>
      <c r="G227" t="inlineStr">
        <is>
          <t>KARLSKRONA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46292</v>
      </c>
      <c r="F228" t="inlineStr">
        <is>
          <t>BLEKINGE LÄN</t>
        </is>
      </c>
      <c r="G228" t="inlineStr">
        <is>
          <t>KARLSKRONA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46292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46292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46292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14511-2023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45012</v>
      </c>
      <c r="E232" s="1" t="n">
        <v>46292</v>
      </c>
      <c r="F232" t="inlineStr">
        <is>
          <t>BLEKINGE LÄN</t>
        </is>
      </c>
      <c r="G232" t="inlineStr">
        <is>
          <t>KARLSKRONA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46292</v>
      </c>
      <c r="F233" t="inlineStr">
        <is>
          <t>BLEKINGE LÄN</t>
        </is>
      </c>
      <c r="G233" t="inlineStr">
        <is>
          <t>KARLSKRONA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45742</v>
      </c>
      <c r="E234" s="1" t="n">
        <v>46292</v>
      </c>
      <c r="F234" t="inlineStr">
        <is>
          <t>BLEKINGE LÄN</t>
        </is>
      </c>
      <c r="G234" t="inlineStr">
        <is>
          <t>KARLSKRONA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46292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46292</v>
      </c>
      <c r="F236" t="inlineStr">
        <is>
          <t>BLEKINGE LÄN</t>
        </is>
      </c>
      <c r="G236" t="inlineStr">
        <is>
          <t>KARLSKRONA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46292</v>
      </c>
      <c r="F237" t="inlineStr">
        <is>
          <t>BLEKINGE LÄN</t>
        </is>
      </c>
      <c r="G237" t="inlineStr">
        <is>
          <t>KARLSKRONA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45028</v>
      </c>
      <c r="E238" s="1" t="n">
        <v>46292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46292</v>
      </c>
      <c r="F239" t="inlineStr">
        <is>
          <t>BLEKINGE LÄN</t>
        </is>
      </c>
      <c r="G239" t="inlineStr">
        <is>
          <t>KARLSKRONA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46292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46292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46292</v>
      </c>
      <c r="F242" t="inlineStr">
        <is>
          <t>BLEKINGE LÄN</t>
        </is>
      </c>
      <c r="G242" t="inlineStr">
        <is>
          <t>KARLSKRONA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46292</v>
      </c>
      <c r="F243" t="inlineStr">
        <is>
          <t>BLEKINGE LÄN</t>
        </is>
      </c>
      <c r="G243" t="inlineStr">
        <is>
          <t>KARLSKRONA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19268-2022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44692</v>
      </c>
      <c r="E244" s="1" t="n">
        <v>46292</v>
      </c>
      <c r="F244" t="inlineStr">
        <is>
          <t>BLEKINGE LÄN</t>
        </is>
      </c>
      <c r="G244" t="inlineStr">
        <is>
          <t>KARLSKRONA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46292</v>
      </c>
      <c r="F245" t="inlineStr">
        <is>
          <t>BLEKINGE LÄN</t>
        </is>
      </c>
      <c r="G245" t="inlineStr">
        <is>
          <t>KARLSKRONA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45565</v>
      </c>
      <c r="E246" s="1" t="n">
        <v>46292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44911</v>
      </c>
      <c r="E247" s="1" t="n">
        <v>46292</v>
      </c>
      <c r="F247" t="inlineStr">
        <is>
          <t>BLEKINGE LÄN</t>
        </is>
      </c>
      <c r="G247" t="inlineStr">
        <is>
          <t>KARLSKRONA</t>
        </is>
      </c>
      <c r="I247" t="n">
        <v>14.2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46292</v>
      </c>
      <c r="F248" t="inlineStr">
        <is>
          <t>BLEKINGE LÄN</t>
        </is>
      </c>
      <c r="G248" t="inlineStr">
        <is>
          <t>KARLSKRONA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45261</v>
      </c>
      <c r="E249" s="1" t="n">
        <v>46292</v>
      </c>
      <c r="F249" t="inlineStr">
        <is>
          <t>BLEKINGE LÄN</t>
        </is>
      </c>
      <c r="G249" t="inlineStr">
        <is>
          <t>KARLSKRONA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46292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46292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46292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46292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46292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46056</v>
      </c>
      <c r="E255" s="1" t="n">
        <v>46292</v>
      </c>
      <c r="F255" t="inlineStr">
        <is>
          <t>BLEKINGE LÄN</t>
        </is>
      </c>
      <c r="G255" t="inlineStr">
        <is>
          <t>KARLSKRONA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44974</v>
      </c>
      <c r="E256" s="1" t="n">
        <v>46292</v>
      </c>
      <c r="F256" t="inlineStr">
        <is>
          <t>BLEKINGE LÄN</t>
        </is>
      </c>
      <c r="G256" t="inlineStr">
        <is>
          <t>KARLSKRONA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46292</v>
      </c>
      <c r="F257" t="inlineStr">
        <is>
          <t>BLEKINGE LÄN</t>
        </is>
      </c>
      <c r="G257" t="inlineStr">
        <is>
          <t>KARLSKRONA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46292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62111-2022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44920</v>
      </c>
      <c r="E259" s="1" t="n">
        <v>46292</v>
      </c>
      <c r="F259" t="inlineStr">
        <is>
          <t>BLEKINGE LÄN</t>
        </is>
      </c>
      <c r="G259" t="inlineStr">
        <is>
          <t>KARLSKRONA</t>
        </is>
      </c>
      <c r="I259" t="n">
        <v>25.5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46292</v>
      </c>
      <c r="F260" t="inlineStr">
        <is>
          <t>BLEKINGE LÄN</t>
        </is>
      </c>
      <c r="G260" t="inlineStr">
        <is>
          <t>KARLSKRONA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45324</v>
      </c>
      <c r="E261" s="1" t="n">
        <v>46292</v>
      </c>
      <c r="F261" t="inlineStr">
        <is>
          <t>BLEKINGE LÄN</t>
        </is>
      </c>
      <c r="G261" t="inlineStr">
        <is>
          <t>KARLSKRONA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46292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46292</v>
      </c>
      <c r="F263" t="inlineStr">
        <is>
          <t>BLEKINGE LÄN</t>
        </is>
      </c>
      <c r="G263" t="inlineStr">
        <is>
          <t>KARLSKRONA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49086-2025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46292</v>
      </c>
      <c r="F264" t="inlineStr">
        <is>
          <t>BLEKINGE LÄN</t>
        </is>
      </c>
      <c r="G264" t="inlineStr">
        <is>
          <t>KARLSKRONA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46292</v>
      </c>
      <c r="F265" t="inlineStr">
        <is>
          <t>BLEKINGE LÄN</t>
        </is>
      </c>
      <c r="G265" t="inlineStr">
        <is>
          <t>KARLSKRONA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44986</v>
      </c>
      <c r="E266" s="1" t="n">
        <v>46292</v>
      </c>
      <c r="F266" t="inlineStr">
        <is>
          <t>BLEKINGE LÄN</t>
        </is>
      </c>
      <c r="G266" t="inlineStr">
        <is>
          <t>KARLSKRONA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45057</v>
      </c>
      <c r="E267" s="1" t="n">
        <v>46292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46097</v>
      </c>
      <c r="E268" s="1" t="n">
        <v>46292</v>
      </c>
      <c r="F268" t="inlineStr">
        <is>
          <t>BLEKINGE LÄN</t>
        </is>
      </c>
      <c r="G268" t="inlineStr">
        <is>
          <t>KARLSKRONA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45142</v>
      </c>
      <c r="E269" s="1" t="n">
        <v>46292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46292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24938-2023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46292</v>
      </c>
      <c r="F271" t="inlineStr">
        <is>
          <t>BLEKINGE LÄN</t>
        </is>
      </c>
      <c r="G271" t="inlineStr">
        <is>
          <t>KARLSKRONA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46292</v>
      </c>
      <c r="F272" t="inlineStr">
        <is>
          <t>BLEKINGE LÄN</t>
        </is>
      </c>
      <c r="G272" t="inlineStr">
        <is>
          <t>KARLSKRONA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44756</v>
      </c>
      <c r="E273" s="1" t="n">
        <v>46292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46292</v>
      </c>
      <c r="F274" t="inlineStr">
        <is>
          <t>BLEKINGE LÄN</t>
        </is>
      </c>
      <c r="G274" t="inlineStr">
        <is>
          <t>KARLSKRONA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46292</v>
      </c>
      <c r="F275" t="inlineStr">
        <is>
          <t>BLEKINGE LÄN</t>
        </is>
      </c>
      <c r="G275" t="inlineStr">
        <is>
          <t>KARLSKRONA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44638</v>
      </c>
      <c r="E276" s="1" t="n">
        <v>46292</v>
      </c>
      <c r="F276" t="inlineStr">
        <is>
          <t>BLEKINGE LÄN</t>
        </is>
      </c>
      <c r="G276" t="inlineStr">
        <is>
          <t>KARLSKRONA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46292</v>
      </c>
      <c r="F277" t="inlineStr">
        <is>
          <t>BLEKINGE LÄN</t>
        </is>
      </c>
      <c r="G277" t="inlineStr">
        <is>
          <t>KARLSKRONA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46292</v>
      </c>
      <c r="F278" t="inlineStr">
        <is>
          <t>BLEKINGE LÄN</t>
        </is>
      </c>
      <c r="G278" t="inlineStr">
        <is>
          <t>KARLSKRONA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46292</v>
      </c>
      <c r="F279" t="inlineStr">
        <is>
          <t>BLEKINGE LÄN</t>
        </is>
      </c>
      <c r="G279" t="inlineStr">
        <is>
          <t>KARLSKRONA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52612-2025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46292</v>
      </c>
      <c r="F280" t="inlineStr">
        <is>
          <t>BLEKINGE LÄN</t>
        </is>
      </c>
      <c r="G280" t="inlineStr">
        <is>
          <t>KARLSKRONA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9763-2022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44619</v>
      </c>
      <c r="E281" s="1" t="n">
        <v>46292</v>
      </c>
      <c r="F281" t="inlineStr">
        <is>
          <t>BLEKINGE LÄN</t>
        </is>
      </c>
      <c r="G281" t="inlineStr">
        <is>
          <t>KARLSKRONA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14131-2023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46292</v>
      </c>
      <c r="F282" t="inlineStr">
        <is>
          <t>BLEKINGE LÄN</t>
        </is>
      </c>
      <c r="G282" t="inlineStr">
        <is>
          <t>KARLSKRONA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46292</v>
      </c>
      <c r="F283" t="inlineStr">
        <is>
          <t>BLEKINGE LÄN</t>
        </is>
      </c>
      <c r="G283" t="inlineStr">
        <is>
          <t>KARLSKRONA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46292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46292</v>
      </c>
      <c r="F285" t="inlineStr">
        <is>
          <t>BLEKINGE LÄN</t>
        </is>
      </c>
      <c r="G285" t="inlineStr">
        <is>
          <t>KARLSKRONA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46292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46292</v>
      </c>
      <c r="F287" t="inlineStr">
        <is>
          <t>BLEKINGE LÄN</t>
        </is>
      </c>
      <c r="G287" t="inlineStr">
        <is>
          <t>KARLSKRONA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46292</v>
      </c>
      <c r="F288" t="inlineStr">
        <is>
          <t>BLEKINGE LÄN</t>
        </is>
      </c>
      <c r="G288" t="inlineStr">
        <is>
          <t>KARLSKRONA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44700</v>
      </c>
      <c r="E289" s="1" t="n">
        <v>46292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46292</v>
      </c>
      <c r="F290" t="inlineStr">
        <is>
          <t>BLEKINGE LÄN</t>
        </is>
      </c>
      <c r="G290" t="inlineStr">
        <is>
          <t>KARLSKRONA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53141-2025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45958</v>
      </c>
      <c r="E291" s="1" t="n">
        <v>46292</v>
      </c>
      <c r="F291" t="inlineStr">
        <is>
          <t>BLEKINGE LÄN</t>
        </is>
      </c>
      <c r="G291" t="inlineStr">
        <is>
          <t>KARLSKRONA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46292</v>
      </c>
      <c r="F292" t="inlineStr">
        <is>
          <t>BLEKINGE LÄN</t>
        </is>
      </c>
      <c r="G292" t="inlineStr">
        <is>
          <t>KARLSKRONA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46292</v>
      </c>
      <c r="F293" t="inlineStr">
        <is>
          <t>BLEKINGE LÄN</t>
        </is>
      </c>
      <c r="G293" t="inlineStr">
        <is>
          <t>KARLSKRONA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46292</v>
      </c>
      <c r="F294" t="inlineStr">
        <is>
          <t>BLEKINGE LÄN</t>
        </is>
      </c>
      <c r="G294" t="inlineStr">
        <is>
          <t>KARLSKRONA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46292</v>
      </c>
      <c r="F295" t="inlineStr">
        <is>
          <t>BLEKINGE LÄN</t>
        </is>
      </c>
      <c r="G295" t="inlineStr">
        <is>
          <t>KARLSKRONA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46292</v>
      </c>
      <c r="F296" t="inlineStr">
        <is>
          <t>BLEKINGE LÄN</t>
        </is>
      </c>
      <c r="G296" t="inlineStr">
        <is>
          <t>KARLSKRONA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16753-2026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46113</v>
      </c>
      <c r="E297" s="1" t="n">
        <v>46292</v>
      </c>
      <c r="F297" t="inlineStr">
        <is>
          <t>BLEKINGE LÄN</t>
        </is>
      </c>
      <c r="G297" t="inlineStr">
        <is>
          <t>KARLSKRONA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46292</v>
      </c>
      <c r="F298" t="inlineStr">
        <is>
          <t>BLEKINGE LÄN</t>
        </is>
      </c>
      <c r="G298" t="inlineStr">
        <is>
          <t>KARLSKRONA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46292</v>
      </c>
      <c r="F299" t="inlineStr">
        <is>
          <t>BLEKINGE LÄN</t>
        </is>
      </c>
      <c r="G299" t="inlineStr">
        <is>
          <t>KARLSKRONA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53143-2025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46292</v>
      </c>
      <c r="F300" t="inlineStr">
        <is>
          <t>BLEKINGE LÄN</t>
        </is>
      </c>
      <c r="G300" t="inlineStr">
        <is>
          <t>KARLSKRONA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46113</v>
      </c>
      <c r="E301" s="1" t="n">
        <v>46292</v>
      </c>
      <c r="F301" t="inlineStr">
        <is>
          <t>BLEKINGE LÄN</t>
        </is>
      </c>
      <c r="G301" t="inlineStr">
        <is>
          <t>KARLSKRONA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46113</v>
      </c>
      <c r="E302" s="1" t="n">
        <v>46292</v>
      </c>
      <c r="F302" t="inlineStr">
        <is>
          <t>BLEKINGE LÄN</t>
        </is>
      </c>
      <c r="G302" t="inlineStr">
        <is>
          <t>KARLSKRONA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46292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46292</v>
      </c>
      <c r="F304" t="inlineStr">
        <is>
          <t>BLEKINGE LÄN</t>
        </is>
      </c>
      <c r="G304" t="inlineStr">
        <is>
          <t>KARLSKRONA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46292</v>
      </c>
      <c r="F305" t="inlineStr">
        <is>
          <t>BLEKINGE LÄN</t>
        </is>
      </c>
      <c r="G305" t="inlineStr">
        <is>
          <t>KARLSKRONA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45308</v>
      </c>
      <c r="E306" s="1" t="n">
        <v>46292</v>
      </c>
      <c r="F306" t="inlineStr">
        <is>
          <t>BLEKINGE LÄN</t>
        </is>
      </c>
      <c r="G306" t="inlineStr">
        <is>
          <t>KARLSKRONA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53850-2025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45961</v>
      </c>
      <c r="E307" s="1" t="n">
        <v>46292</v>
      </c>
      <c r="F307" t="inlineStr">
        <is>
          <t>BLEKINGE LÄN</t>
        </is>
      </c>
      <c r="G307" t="inlineStr">
        <is>
          <t>KARLSKRONA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53864-2025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45961</v>
      </c>
      <c r="E308" s="1" t="n">
        <v>46292</v>
      </c>
      <c r="F308" t="inlineStr">
        <is>
          <t>BLEKINGE LÄN</t>
        </is>
      </c>
      <c r="G308" t="inlineStr">
        <is>
          <t>KARLSKRONA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53858-2025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45961</v>
      </c>
      <c r="E309" s="1" t="n">
        <v>46292</v>
      </c>
      <c r="F309" t="inlineStr">
        <is>
          <t>BLEKINGE LÄN</t>
        </is>
      </c>
      <c r="G309" t="inlineStr">
        <is>
          <t>KARLSKRONA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45107</v>
      </c>
      <c r="E310" s="1" t="n">
        <v>46292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45079</v>
      </c>
      <c r="E311" s="1" t="n">
        <v>46292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46292</v>
      </c>
      <c r="F312" t="inlineStr">
        <is>
          <t>BLEKINGE LÄN</t>
        </is>
      </c>
      <c r="G312" t="inlineStr">
        <is>
          <t>KARLSKRONA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46292</v>
      </c>
      <c r="F313" t="inlineStr">
        <is>
          <t>BLEKINGE LÄN</t>
        </is>
      </c>
      <c r="G313" t="inlineStr">
        <is>
          <t>KARLSKRONA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45604</v>
      </c>
      <c r="E314" s="1" t="n">
        <v>46292</v>
      </c>
      <c r="F314" t="inlineStr">
        <is>
          <t>BLEKINGE LÄN</t>
        </is>
      </c>
      <c r="G314" t="inlineStr">
        <is>
          <t>KARLSKRONA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46292</v>
      </c>
      <c r="F315" t="inlineStr">
        <is>
          <t>BLEKINGE LÄN</t>
        </is>
      </c>
      <c r="G315" t="inlineStr">
        <is>
          <t>KARLSKRONA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44757</v>
      </c>
      <c r="E316" s="1" t="n">
        <v>46292</v>
      </c>
      <c r="F316" t="inlineStr">
        <is>
          <t>BLEKINGE LÄN</t>
        </is>
      </c>
      <c r="G316" t="inlineStr">
        <is>
          <t>KARLSKRONA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46292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46292</v>
      </c>
      <c r="F318" t="inlineStr">
        <is>
          <t>BLEKINGE LÄN</t>
        </is>
      </c>
      <c r="G318" t="inlineStr">
        <is>
          <t>KARLSKRONA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46292</v>
      </c>
      <c r="F319" t="inlineStr">
        <is>
          <t>BLEKINGE LÄN</t>
        </is>
      </c>
      <c r="G319" t="inlineStr">
        <is>
          <t>KARLSKRONA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46292</v>
      </c>
      <c r="F320" t="inlineStr">
        <is>
          <t>BLEKINGE LÄN</t>
        </is>
      </c>
      <c r="G320" t="inlineStr">
        <is>
          <t>KARLSKRONA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46292</v>
      </c>
      <c r="F321" t="inlineStr">
        <is>
          <t>BLEKINGE LÄN</t>
        </is>
      </c>
      <c r="G321" t="inlineStr">
        <is>
          <t>KARLSKRONA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46292</v>
      </c>
      <c r="F322" t="inlineStr">
        <is>
          <t>BLEKINGE LÄN</t>
        </is>
      </c>
      <c r="G322" t="inlineStr">
        <is>
          <t>KARLSKRONA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45537</v>
      </c>
      <c r="E323" s="1" t="n">
        <v>46292</v>
      </c>
      <c r="F323" t="inlineStr">
        <is>
          <t>BLEKINGE LÄN</t>
        </is>
      </c>
      <c r="G323" t="inlineStr">
        <is>
          <t>KARLSKRONA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45142</v>
      </c>
      <c r="E324" s="1" t="n">
        <v>46292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46292</v>
      </c>
      <c r="F325" t="inlineStr">
        <is>
          <t>BLEKINGE LÄN</t>
        </is>
      </c>
      <c r="G325" t="inlineStr">
        <is>
          <t>KARLSKRONA</t>
        </is>
      </c>
      <c r="I325" t="n">
        <v>11.5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57996-2024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45631</v>
      </c>
      <c r="E326" s="1" t="n">
        <v>46292</v>
      </c>
      <c r="F326" t="inlineStr">
        <is>
          <t>BLEKINGE LÄN</t>
        </is>
      </c>
      <c r="G326" t="inlineStr">
        <is>
          <t>KARLSKRONA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46292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45178</v>
      </c>
      <c r="E328" s="1" t="n">
        <v>46292</v>
      </c>
      <c r="F328" t="inlineStr">
        <is>
          <t>BLEKINGE LÄN</t>
        </is>
      </c>
      <c r="G328" t="inlineStr">
        <is>
          <t>KARLSKRONA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46292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46292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46292</v>
      </c>
      <c r="F331" t="inlineStr">
        <is>
          <t>BLEKINGE LÄN</t>
        </is>
      </c>
      <c r="G331" t="inlineStr">
        <is>
          <t>KARLSKRONA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45923</v>
      </c>
      <c r="E332" s="1" t="n">
        <v>46292</v>
      </c>
      <c r="F332" t="inlineStr">
        <is>
          <t>BLEKINGE LÄN</t>
        </is>
      </c>
      <c r="G332" t="inlineStr">
        <is>
          <t>KARLSKRONA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46292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46292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45784</v>
      </c>
      <c r="E335" s="1" t="n">
        <v>46292</v>
      </c>
      <c r="F335" t="inlineStr">
        <is>
          <t>BLEKINGE LÄN</t>
        </is>
      </c>
      <c r="G335" t="inlineStr">
        <is>
          <t>KARLSKRONA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34319-2025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45846</v>
      </c>
      <c r="E336" s="1" t="n">
        <v>46292</v>
      </c>
      <c r="F336" t="inlineStr">
        <is>
          <t>BLEKINGE LÄN</t>
        </is>
      </c>
      <c r="G336" t="inlineStr">
        <is>
          <t>KARLSKRONA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46292</v>
      </c>
      <c r="F337" t="inlineStr">
        <is>
          <t>BLEKINGE LÄN</t>
        </is>
      </c>
      <c r="G337" t="inlineStr">
        <is>
          <t>KARLSKRONA</t>
        </is>
      </c>
      <c r="H337" t="inlineStr">
        <is>
          <t>Kommuner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46292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46292</v>
      </c>
      <c r="F339" t="inlineStr">
        <is>
          <t>BLEKINGE LÄN</t>
        </is>
      </c>
      <c r="G339" t="inlineStr">
        <is>
          <t>KARLSKRONA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46292</v>
      </c>
      <c r="F340" t="inlineStr">
        <is>
          <t>BLEKINGE LÄN</t>
        </is>
      </c>
      <c r="G340" t="inlineStr">
        <is>
          <t>KARLSKRONA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46292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46292</v>
      </c>
      <c r="F342" t="inlineStr">
        <is>
          <t>BLEKINGE LÄN</t>
        </is>
      </c>
      <c r="G342" t="inlineStr">
        <is>
          <t>KARLSKRONA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46292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44747</v>
      </c>
      <c r="E344" s="1" t="n">
        <v>46292</v>
      </c>
      <c r="F344" t="inlineStr">
        <is>
          <t>BLEKINGE LÄN</t>
        </is>
      </c>
      <c r="G344" t="inlineStr">
        <is>
          <t>KARLSKRONA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46292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55147-2021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46292</v>
      </c>
      <c r="F346" t="inlineStr">
        <is>
          <t>BLEKINGE LÄN</t>
        </is>
      </c>
      <c r="G346" t="inlineStr">
        <is>
          <t>KARLSKRONA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39984-2022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44820</v>
      </c>
      <c r="E347" s="1" t="n">
        <v>46292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46292</v>
      </c>
      <c r="F348" t="inlineStr">
        <is>
          <t>BLEKINGE LÄN</t>
        </is>
      </c>
      <c r="G348" t="inlineStr">
        <is>
          <t>KARLSKRONA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45554</v>
      </c>
      <c r="E349" s="1" t="n">
        <v>46292</v>
      </c>
      <c r="F349" t="inlineStr">
        <is>
          <t>BLEKINGE LÄN</t>
        </is>
      </c>
      <c r="G349" t="inlineStr">
        <is>
          <t>KARLSKRONA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45028</v>
      </c>
      <c r="E350" s="1" t="n">
        <v>46292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46292</v>
      </c>
      <c r="F351" t="inlineStr">
        <is>
          <t>BLEKINGE LÄN</t>
        </is>
      </c>
      <c r="G351" t="inlineStr">
        <is>
          <t>KARLSKRONA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46292</v>
      </c>
      <c r="F352" t="inlineStr">
        <is>
          <t>BLEKINGE LÄN</t>
        </is>
      </c>
      <c r="G352" t="inlineStr">
        <is>
          <t>KARLSKRONA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44628-2022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44840</v>
      </c>
      <c r="E353" s="1" t="n">
        <v>46292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65639-2021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46292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44120-2023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46292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45027</v>
      </c>
      <c r="E356" s="1" t="n">
        <v>46292</v>
      </c>
      <c r="F356" t="inlineStr">
        <is>
          <t>BLEKINGE LÄN</t>
        </is>
      </c>
      <c r="G356" t="inlineStr">
        <is>
          <t>KARLSKRONA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45784</v>
      </c>
      <c r="E357" s="1" t="n">
        <v>46292</v>
      </c>
      <c r="F357" t="inlineStr">
        <is>
          <t>BLEKINGE LÄN</t>
        </is>
      </c>
      <c r="G357" t="inlineStr">
        <is>
          <t>KARLSKRONA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46292</v>
      </c>
      <c r="F358" t="inlineStr">
        <is>
          <t>BLEKINGE LÄN</t>
        </is>
      </c>
      <c r="G358" t="inlineStr">
        <is>
          <t>KARLSKRONA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47992-2023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45204</v>
      </c>
      <c r="E359" s="1" t="n">
        <v>46292</v>
      </c>
      <c r="F359" t="inlineStr">
        <is>
          <t>BLEKINGE LÄN</t>
        </is>
      </c>
      <c r="G359" t="inlineStr">
        <is>
          <t>KARLSKRONA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46292</v>
      </c>
      <c r="F360" t="inlineStr">
        <is>
          <t>BLEKINGE LÄN</t>
        </is>
      </c>
      <c r="G360" t="inlineStr">
        <is>
          <t>KARLSKRONA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46292</v>
      </c>
      <c r="F361" t="inlineStr">
        <is>
          <t>BLEKINGE LÄN</t>
        </is>
      </c>
      <c r="G361" t="inlineStr">
        <is>
          <t>KARLSKRONA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46292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28615-2022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44748</v>
      </c>
      <c r="E363" s="1" t="n">
        <v>46292</v>
      </c>
      <c r="F363" t="inlineStr">
        <is>
          <t>BLEKINGE LÄN</t>
        </is>
      </c>
      <c r="G363" t="inlineStr">
        <is>
          <t>KARLSKRONA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45215</v>
      </c>
      <c r="E364" s="1" t="n">
        <v>46292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46292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56600-2023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45238</v>
      </c>
      <c r="E366" s="1" t="n">
        <v>46292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44890</v>
      </c>
      <c r="E367" s="1" t="n">
        <v>46292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46292</v>
      </c>
      <c r="F368" t="inlineStr">
        <is>
          <t>BLEKINGE LÄN</t>
        </is>
      </c>
      <c r="G368" t="inlineStr">
        <is>
          <t>KARLSKRONA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68972-2021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44530</v>
      </c>
      <c r="E369" s="1" t="n">
        <v>46292</v>
      </c>
      <c r="F369" t="inlineStr">
        <is>
          <t>BLEKINGE LÄN</t>
        </is>
      </c>
      <c r="G369" t="inlineStr">
        <is>
          <t>KARLSKRONA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45080</v>
      </c>
      <c r="E370" s="1" t="n">
        <v>46292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18719-2023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46292</v>
      </c>
      <c r="F371" t="inlineStr">
        <is>
          <t>BLEKINGE LÄN</t>
        </is>
      </c>
      <c r="G371" t="inlineStr">
        <is>
          <t>KARLSKRONA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45576</v>
      </c>
      <c r="E372" s="1" t="n">
        <v>46292</v>
      </c>
      <c r="F372" t="inlineStr">
        <is>
          <t>BLEKINGE LÄN</t>
        </is>
      </c>
      <c r="G372" t="inlineStr">
        <is>
          <t>KARLSKRONA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46292</v>
      </c>
      <c r="F373" t="inlineStr">
        <is>
          <t>BLEKINGE LÄN</t>
        </is>
      </c>
      <c r="G373" t="inlineStr">
        <is>
          <t>KARLSKRONA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46292</v>
      </c>
      <c r="F374" t="inlineStr">
        <is>
          <t>BLEKINGE LÄN</t>
        </is>
      </c>
      <c r="G374" t="inlineStr">
        <is>
          <t>KARLSKRONA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23679-2023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46292</v>
      </c>
      <c r="F375" t="inlineStr">
        <is>
          <t>BLEKINGE LÄN</t>
        </is>
      </c>
      <c r="G375" t="inlineStr">
        <is>
          <t>KARLSKRONA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36576-2024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45537</v>
      </c>
      <c r="E376" s="1" t="n">
        <v>46292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46292</v>
      </c>
      <c r="F377" t="inlineStr">
        <is>
          <t>BLEKINGE LÄN</t>
        </is>
      </c>
      <c r="G377" t="inlineStr">
        <is>
          <t>KARLSKRONA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46292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44636</v>
      </c>
      <c r="E379" s="1" t="n">
        <v>46292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46292</v>
      </c>
      <c r="F380" t="inlineStr">
        <is>
          <t>BLEKINGE LÄN</t>
        </is>
      </c>
      <c r="G380" t="inlineStr">
        <is>
          <t>KARLSKRONA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45532</v>
      </c>
      <c r="E381" s="1" t="n">
        <v>46292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13395-2025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46292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46292</v>
      </c>
      <c r="F383" t="inlineStr">
        <is>
          <t>BLEKINGE LÄN</t>
        </is>
      </c>
      <c r="G383" t="inlineStr">
        <is>
          <t>KARLSKRONA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46292</v>
      </c>
      <c r="F384" t="inlineStr">
        <is>
          <t>BLEKINGE LÄN</t>
        </is>
      </c>
      <c r="G384" t="inlineStr">
        <is>
          <t>KARLSKRONA</t>
        </is>
      </c>
      <c r="I384" t="n">
        <v>13.2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44860</v>
      </c>
      <c r="E385" s="1" t="n">
        <v>46292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45234</v>
      </c>
      <c r="E386" s="1" t="n">
        <v>46292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24951-2023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45085</v>
      </c>
      <c r="E387" s="1" t="n">
        <v>46292</v>
      </c>
      <c r="F387" t="inlineStr">
        <is>
          <t>BLEKINGE LÄN</t>
        </is>
      </c>
      <c r="G387" t="inlineStr">
        <is>
          <t>KARLSKRONA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36811-2024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46292</v>
      </c>
      <c r="F388" t="inlineStr">
        <is>
          <t>BLEKINGE LÄN</t>
        </is>
      </c>
      <c r="G388" t="inlineStr">
        <is>
          <t>KARLSKRONA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46292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46292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46292</v>
      </c>
      <c r="F391" t="inlineStr">
        <is>
          <t>BLEKINGE LÄN</t>
        </is>
      </c>
      <c r="G391" t="inlineStr">
        <is>
          <t>KARLSKRONA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46292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45812</v>
      </c>
      <c r="E393" s="1" t="n">
        <v>46292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46292</v>
      </c>
      <c r="F394" t="inlineStr">
        <is>
          <t>BLEKINGE LÄN</t>
        </is>
      </c>
      <c r="G394" t="inlineStr">
        <is>
          <t>KARLSKRONA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46292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45406</v>
      </c>
      <c r="E396" s="1" t="n">
        <v>46292</v>
      </c>
      <c r="F396" t="inlineStr">
        <is>
          <t>BLEKINGE LÄN</t>
        </is>
      </c>
      <c r="G396" t="inlineStr">
        <is>
          <t>KARLSKRONA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46292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46292</v>
      </c>
      <c r="F398" t="inlineStr">
        <is>
          <t>BLEKINGE LÄN</t>
        </is>
      </c>
      <c r="G398" t="inlineStr">
        <is>
          <t>KARLSKRONA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44609</v>
      </c>
      <c r="E399" s="1" t="n">
        <v>46292</v>
      </c>
      <c r="F399" t="inlineStr">
        <is>
          <t>BLEKINGE LÄN</t>
        </is>
      </c>
      <c r="G399" t="inlineStr">
        <is>
          <t>KARLSKRONA</t>
        </is>
      </c>
      <c r="H399" t="inlineStr">
        <is>
          <t>Kommuner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46292</v>
      </c>
      <c r="F400" t="inlineStr">
        <is>
          <t>BLEKINGE LÄN</t>
        </is>
      </c>
      <c r="G400" t="inlineStr">
        <is>
          <t>KARLSKRONA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46774-2022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46292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45133</v>
      </c>
      <c r="E402" s="1" t="n">
        <v>46292</v>
      </c>
      <c r="F402" t="inlineStr">
        <is>
          <t>BLEKINGE LÄN</t>
        </is>
      </c>
      <c r="G402" t="inlineStr">
        <is>
          <t>KARLSKRONA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46292</v>
      </c>
      <c r="F403" t="inlineStr">
        <is>
          <t>BLEKINGE LÄN</t>
        </is>
      </c>
      <c r="G403" t="inlineStr">
        <is>
          <t>KARLSKRONA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46292</v>
      </c>
      <c r="F404" t="inlineStr">
        <is>
          <t>BLEKINGE LÄN</t>
        </is>
      </c>
      <c r="G404" t="inlineStr">
        <is>
          <t>KARLSKRONA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46292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45832</v>
      </c>
      <c r="E406" s="1" t="n">
        <v>46292</v>
      </c>
      <c r="F406" t="inlineStr">
        <is>
          <t>BLEKINGE LÄN</t>
        </is>
      </c>
      <c r="G406" t="inlineStr">
        <is>
          <t>KARLSKRONA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45809</v>
      </c>
      <c r="E407" s="1" t="n">
        <v>46292</v>
      </c>
      <c r="F407" t="inlineStr">
        <is>
          <t>BLEKINGE LÄN</t>
        </is>
      </c>
      <c r="G407" t="inlineStr">
        <is>
          <t>KARLSKRONA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22800-2026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46158</v>
      </c>
      <c r="E408" s="1" t="n">
        <v>46292</v>
      </c>
      <c r="F408" t="inlineStr">
        <is>
          <t>BLEKINGE LÄN</t>
        </is>
      </c>
      <c r="G408" t="inlineStr">
        <is>
          <t>KARLSKRONA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46292</v>
      </c>
      <c r="F409" t="inlineStr">
        <is>
          <t>BLEKINGE LÄN</t>
        </is>
      </c>
      <c r="G409" t="inlineStr">
        <is>
          <t>KARLSKRONA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45809</v>
      </c>
      <c r="E410" s="1" t="n">
        <v>46292</v>
      </c>
      <c r="F410" t="inlineStr">
        <is>
          <t>BLEKINGE LÄN</t>
        </is>
      </c>
      <c r="G410" t="inlineStr">
        <is>
          <t>KARLSKRONA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46158</v>
      </c>
      <c r="E411" s="1" t="n">
        <v>46292</v>
      </c>
      <c r="F411" t="inlineStr">
        <is>
          <t>BLEKINGE LÄN</t>
        </is>
      </c>
      <c r="G411" t="inlineStr">
        <is>
          <t>KARLSKRONA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22799-2026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46158</v>
      </c>
      <c r="E412" s="1" t="n">
        <v>46292</v>
      </c>
      <c r="F412" t="inlineStr">
        <is>
          <t>BLEKINGE LÄN</t>
        </is>
      </c>
      <c r="G412" t="inlineStr">
        <is>
          <t>KARLSKRONA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46292</v>
      </c>
      <c r="F413" t="inlineStr">
        <is>
          <t>BLEKINGE LÄN</t>
        </is>
      </c>
      <c r="G413" t="inlineStr">
        <is>
          <t>KARLSKRONA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46158</v>
      </c>
      <c r="E414" s="1" t="n">
        <v>46292</v>
      </c>
      <c r="F414" t="inlineStr">
        <is>
          <t>BLEKINGE LÄN</t>
        </is>
      </c>
      <c r="G414" t="inlineStr">
        <is>
          <t>KARLSKRONA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46158</v>
      </c>
      <c r="E415" s="1" t="n">
        <v>46292</v>
      </c>
      <c r="F415" t="inlineStr">
        <is>
          <t>BLEKINGE LÄN</t>
        </is>
      </c>
      <c r="G415" t="inlineStr">
        <is>
          <t>KARLSKRONA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46158</v>
      </c>
      <c r="E416" s="1" t="n">
        <v>46292</v>
      </c>
      <c r="F416" t="inlineStr">
        <is>
          <t>BLEKINGE LÄN</t>
        </is>
      </c>
      <c r="G416" t="inlineStr">
        <is>
          <t>KARLSKRONA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46292</v>
      </c>
      <c r="F417" t="inlineStr">
        <is>
          <t>BLEKINGE LÄN</t>
        </is>
      </c>
      <c r="G417" t="inlineStr">
        <is>
          <t>KARLSKRONA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46292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46292</v>
      </c>
      <c r="F419" t="inlineStr">
        <is>
          <t>BLEKINGE LÄN</t>
        </is>
      </c>
      <c r="G419" t="inlineStr">
        <is>
          <t>KARLSKRONA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46292</v>
      </c>
      <c r="F420" t="inlineStr">
        <is>
          <t>BLEKINGE LÄN</t>
        </is>
      </c>
      <c r="G420" t="inlineStr">
        <is>
          <t>KARLSKRONA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29969-2023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45108</v>
      </c>
      <c r="E421" s="1" t="n">
        <v>46292</v>
      </c>
      <c r="F421" t="inlineStr">
        <is>
          <t>BLEKINGE LÄN</t>
        </is>
      </c>
      <c r="G421" t="inlineStr">
        <is>
          <t>KARLSKRONA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46292</v>
      </c>
      <c r="F422" t="inlineStr">
        <is>
          <t>BLEKINGE LÄN</t>
        </is>
      </c>
      <c r="G422" t="inlineStr">
        <is>
          <t>KARLSKRONA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46292</v>
      </c>
      <c r="F423" t="inlineStr">
        <is>
          <t>BLEKINGE LÄN</t>
        </is>
      </c>
      <c r="G423" t="inlineStr">
        <is>
          <t>KARLSKRONA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45711</v>
      </c>
      <c r="E424" s="1" t="n">
        <v>46292</v>
      </c>
      <c r="F424" t="inlineStr">
        <is>
          <t>BLEKINGE LÄN</t>
        </is>
      </c>
      <c r="G424" t="inlineStr">
        <is>
          <t>KARLSKRONA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45050</v>
      </c>
      <c r="E425" s="1" t="n">
        <v>46292</v>
      </c>
      <c r="F425" t="inlineStr">
        <is>
          <t>BLEKINGE LÄN</t>
        </is>
      </c>
      <c r="G425" t="inlineStr">
        <is>
          <t>KARLSKRONA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46292</v>
      </c>
      <c r="F426" t="inlineStr">
        <is>
          <t>BLEKINGE LÄN</t>
        </is>
      </c>
      <c r="G426" t="inlineStr">
        <is>
          <t>KARLSKRONA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46292</v>
      </c>
      <c r="F427" t="inlineStr">
        <is>
          <t>BLEKINGE LÄN</t>
        </is>
      </c>
      <c r="G427" t="inlineStr">
        <is>
          <t>KARLSKRONA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46292</v>
      </c>
      <c r="F428" t="inlineStr">
        <is>
          <t>BLEKINGE LÄN</t>
        </is>
      </c>
      <c r="G428" t="inlineStr">
        <is>
          <t>KARLSKRONA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46292</v>
      </c>
      <c r="F429" t="inlineStr">
        <is>
          <t>BLEKINGE LÄN</t>
        </is>
      </c>
      <c r="G429" t="inlineStr">
        <is>
          <t>KARLSKRONA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46292</v>
      </c>
      <c r="F430" t="inlineStr">
        <is>
          <t>BLEKINGE LÄN</t>
        </is>
      </c>
      <c r="G430" t="inlineStr">
        <is>
          <t>KARLSKRONA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46292</v>
      </c>
      <c r="F431" t="inlineStr">
        <is>
          <t>BLEKINGE LÄN</t>
        </is>
      </c>
      <c r="G431" t="inlineStr">
        <is>
          <t>KARLSKRONA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23726-2026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46164</v>
      </c>
      <c r="E432" s="1" t="n">
        <v>46292</v>
      </c>
      <c r="F432" t="inlineStr">
        <is>
          <t>BLEKINGE LÄN</t>
        </is>
      </c>
      <c r="G432" t="inlineStr">
        <is>
          <t>KARLSKRONA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46292</v>
      </c>
      <c r="F433" t="inlineStr">
        <is>
          <t>BLEKINGE LÄN</t>
        </is>
      </c>
      <c r="G433" t="inlineStr">
        <is>
          <t>KARLSKRONA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72478-2021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44545</v>
      </c>
      <c r="E434" s="1" t="n">
        <v>46292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46292</v>
      </c>
      <c r="F435" t="inlineStr">
        <is>
          <t>BLEKINGE LÄN</t>
        </is>
      </c>
      <c r="G435" t="inlineStr">
        <is>
          <t>KARLSKRONA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46164</v>
      </c>
      <c r="E436" s="1" t="n">
        <v>46292</v>
      </c>
      <c r="F436" t="inlineStr">
        <is>
          <t>BLEKINGE LÄN</t>
        </is>
      </c>
      <c r="G436" t="inlineStr">
        <is>
          <t>KARLSKRONA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45344</v>
      </c>
      <c r="E437" s="1" t="n">
        <v>46292</v>
      </c>
      <c r="F437" t="inlineStr">
        <is>
          <t>BLEKINGE LÄN</t>
        </is>
      </c>
      <c r="G437" t="inlineStr">
        <is>
          <t>KARLSKRONA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73356-2021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44551</v>
      </c>
      <c r="E438" s="1" t="n">
        <v>46292</v>
      </c>
      <c r="F438" t="inlineStr">
        <is>
          <t>BLEKINGE LÄN</t>
        </is>
      </c>
      <c r="G438" t="inlineStr">
        <is>
          <t>KARLSKRONA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46292</v>
      </c>
      <c r="F439" t="inlineStr">
        <is>
          <t>BLEKINGE LÄN</t>
        </is>
      </c>
      <c r="G439" t="inlineStr">
        <is>
          <t>KARLSKRONA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45393</v>
      </c>
      <c r="E440" s="1" t="n">
        <v>46292</v>
      </c>
      <c r="F440" t="inlineStr">
        <is>
          <t>BLEKINGE LÄN</t>
        </is>
      </c>
      <c r="G440" t="inlineStr">
        <is>
          <t>KARLSKRONA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46292</v>
      </c>
      <c r="F441" t="inlineStr">
        <is>
          <t>BLEKINGE LÄN</t>
        </is>
      </c>
      <c r="G441" t="inlineStr">
        <is>
          <t>KARLSKRONA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45387</v>
      </c>
      <c r="E442" s="1" t="n">
        <v>46292</v>
      </c>
      <c r="F442" t="inlineStr">
        <is>
          <t>BLEKINGE LÄN</t>
        </is>
      </c>
      <c r="G442" t="inlineStr">
        <is>
          <t>KARLSKRONA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46292</v>
      </c>
      <c r="F443" t="inlineStr">
        <is>
          <t>BLEKINGE LÄN</t>
        </is>
      </c>
      <c r="G443" t="inlineStr">
        <is>
          <t>KARLSKRONA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46292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46169</v>
      </c>
      <c r="E445" s="1" t="n">
        <v>46292</v>
      </c>
      <c r="F445" t="inlineStr">
        <is>
          <t>BLEKINGE LÄN</t>
        </is>
      </c>
      <c r="G445" t="inlineStr">
        <is>
          <t>KARLSKRONA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29914-2023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45107</v>
      </c>
      <c r="E446" s="1" t="n">
        <v>46292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46292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46292</v>
      </c>
      <c r="F448" t="inlineStr">
        <is>
          <t>BLEKINGE LÄN</t>
        </is>
      </c>
      <c r="G448" t="inlineStr">
        <is>
          <t>KARLSKRONA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46292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46292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50831-2024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46292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50846-2024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45602</v>
      </c>
      <c r="E452" s="1" t="n">
        <v>46292</v>
      </c>
      <c r="F452" t="inlineStr">
        <is>
          <t>BLEKINGE LÄN</t>
        </is>
      </c>
      <c r="G452" t="inlineStr">
        <is>
          <t>KARLSKRONA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22643-2025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45789</v>
      </c>
      <c r="E453" s="1" t="n">
        <v>46292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46292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46292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46292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46292</v>
      </c>
      <c r="F457" t="inlineStr">
        <is>
          <t>BLEKINGE LÄN</t>
        </is>
      </c>
      <c r="G457" t="inlineStr">
        <is>
          <t>KARLSKRONA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45537</v>
      </c>
      <c r="E458" s="1" t="n">
        <v>46292</v>
      </c>
      <c r="F458" t="inlineStr">
        <is>
          <t>BLEKINGE LÄN</t>
        </is>
      </c>
      <c r="G458" t="inlineStr">
        <is>
          <t>KARLSKRONA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46292</v>
      </c>
      <c r="F459" t="inlineStr">
        <is>
          <t>BLEKINGE LÄN</t>
        </is>
      </c>
      <c r="G459" t="inlineStr">
        <is>
          <t>KARLSKRONA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46292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37430-2023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45156</v>
      </c>
      <c r="E461" s="1" t="n">
        <v>46292</v>
      </c>
      <c r="F461" t="inlineStr">
        <is>
          <t>BLEKINGE LÄN</t>
        </is>
      </c>
      <c r="G461" t="inlineStr">
        <is>
          <t>KARLSKRONA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46292</v>
      </c>
      <c r="F462" t="inlineStr">
        <is>
          <t>BLEKINGE LÄN</t>
        </is>
      </c>
      <c r="G462" t="inlineStr">
        <is>
          <t>KARLSKRONA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46292</v>
      </c>
      <c r="F463" t="inlineStr">
        <is>
          <t>BLEKINGE LÄN</t>
        </is>
      </c>
      <c r="G463" t="inlineStr">
        <is>
          <t>KARLSKRONA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46176</v>
      </c>
      <c r="E464" s="1" t="n">
        <v>46292</v>
      </c>
      <c r="F464" t="inlineStr">
        <is>
          <t>BLEKINGE LÄN</t>
        </is>
      </c>
      <c r="G464" t="inlineStr">
        <is>
          <t>KARLSKRONA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35643-2024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46292</v>
      </c>
      <c r="F465" t="inlineStr">
        <is>
          <t>BLEKINGE LÄN</t>
        </is>
      </c>
      <c r="G465" t="inlineStr">
        <is>
          <t>KARLSKRONA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45035</v>
      </c>
      <c r="E466" s="1" t="n">
        <v>46292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46292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46292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14853-2023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45014</v>
      </c>
      <c r="E469" s="1" t="n">
        <v>46292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45524</v>
      </c>
      <c r="E470" s="1" t="n">
        <v>46292</v>
      </c>
      <c r="F470" t="inlineStr">
        <is>
          <t>BLEKINGE LÄN</t>
        </is>
      </c>
      <c r="G470" t="inlineStr">
        <is>
          <t>KARLSKRONA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46292</v>
      </c>
      <c r="F471" t="inlineStr">
        <is>
          <t>BLEKINGE LÄN</t>
        </is>
      </c>
      <c r="G471" t="inlineStr">
        <is>
          <t>KARLSKRONA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46292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46292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46292</v>
      </c>
      <c r="F474" t="inlineStr">
        <is>
          <t>BLEKINGE LÄN</t>
        </is>
      </c>
      <c r="G474" t="inlineStr">
        <is>
          <t>KARLSKRONA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44407-2024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45573</v>
      </c>
      <c r="E475" s="1" t="n">
        <v>46292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45127</v>
      </c>
      <c r="E476" s="1" t="n">
        <v>46292</v>
      </c>
      <c r="F476" t="inlineStr">
        <is>
          <t>BLEKINGE LÄN</t>
        </is>
      </c>
      <c r="G476" t="inlineStr">
        <is>
          <t>KARLSKRONA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46292</v>
      </c>
      <c r="F477" t="inlineStr">
        <is>
          <t>BLEKINGE LÄN</t>
        </is>
      </c>
      <c r="G477" t="inlineStr">
        <is>
          <t>KARLSKRONA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46292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64820-2021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46292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46292</v>
      </c>
      <c r="F480" t="inlineStr">
        <is>
          <t>BLEKINGE LÄN</t>
        </is>
      </c>
      <c r="G480" t="inlineStr">
        <is>
          <t>KARLSKRONA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46292</v>
      </c>
      <c r="F481" t="inlineStr">
        <is>
          <t>BLEKINGE LÄN</t>
        </is>
      </c>
      <c r="G481" t="inlineStr">
        <is>
          <t>KARLSKRONA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45076</v>
      </c>
      <c r="E482" s="1" t="n">
        <v>46292</v>
      </c>
      <c r="F482" t="inlineStr">
        <is>
          <t>BLEKINGE LÄN</t>
        </is>
      </c>
      <c r="G482" t="inlineStr">
        <is>
          <t>KARLSKRONA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41243-2023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45174</v>
      </c>
      <c r="E483" s="1" t="n">
        <v>46292</v>
      </c>
      <c r="F483" t="inlineStr">
        <is>
          <t>BLEKINGE LÄN</t>
        </is>
      </c>
      <c r="G483" t="inlineStr">
        <is>
          <t>KARLSKRONA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46292</v>
      </c>
      <c r="F484" t="inlineStr">
        <is>
          <t>BLEKINGE LÄN</t>
        </is>
      </c>
      <c r="G484" t="inlineStr">
        <is>
          <t>KARLSKRONA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46292</v>
      </c>
      <c r="F485" t="inlineStr">
        <is>
          <t>BLEKINGE LÄN</t>
        </is>
      </c>
      <c r="G485" t="inlineStr">
        <is>
          <t>KARLSKRONA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40714-2023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45170</v>
      </c>
      <c r="E486" s="1" t="n">
        <v>46292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45278</v>
      </c>
      <c r="E487" s="1" t="n">
        <v>46292</v>
      </c>
      <c r="F487" t="inlineStr">
        <is>
          <t>BLEKINGE LÄN</t>
        </is>
      </c>
      <c r="G487" t="inlineStr">
        <is>
          <t>KARLSKRONA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46292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42532-2023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46292</v>
      </c>
      <c r="F489" t="inlineStr">
        <is>
          <t>BLEKINGE LÄN</t>
        </is>
      </c>
      <c r="G489" t="inlineStr">
        <is>
          <t>KARLSKRONA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44581</v>
      </c>
      <c r="E490" s="1" t="n">
        <v>46292</v>
      </c>
      <c r="F490" t="inlineStr">
        <is>
          <t>BLEKINGE LÄN</t>
        </is>
      </c>
      <c r="G490" t="inlineStr">
        <is>
          <t>KARLSKRONA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45749</v>
      </c>
      <c r="E491" s="1" t="n">
        <v>46292</v>
      </c>
      <c r="F491" t="inlineStr">
        <is>
          <t>BLEKINGE LÄN</t>
        </is>
      </c>
      <c r="G491" t="inlineStr">
        <is>
          <t>KARLSKRONA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46292</v>
      </c>
      <c r="F492" t="inlineStr">
        <is>
          <t>BLEKINGE LÄN</t>
        </is>
      </c>
      <c r="G492" t="inlineStr">
        <is>
          <t>KARLSKRONA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46292</v>
      </c>
      <c r="F493" t="inlineStr">
        <is>
          <t>BLEKINGE LÄN</t>
        </is>
      </c>
      <c r="G493" t="inlineStr">
        <is>
          <t>KARLSKRONA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45335</v>
      </c>
      <c r="E494" s="1" t="n">
        <v>46292</v>
      </c>
      <c r="F494" t="inlineStr">
        <is>
          <t>BLEKINGE LÄN</t>
        </is>
      </c>
      <c r="G494" t="inlineStr">
        <is>
          <t>KARLSKRONA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46292</v>
      </c>
      <c r="F495" t="inlineStr">
        <is>
          <t>BLEKINGE LÄN</t>
        </is>
      </c>
      <c r="G495" t="inlineStr">
        <is>
          <t>KARLSKRONA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46292</v>
      </c>
      <c r="F496" t="inlineStr">
        <is>
          <t>BLEKINGE LÄN</t>
        </is>
      </c>
      <c r="G496" t="inlineStr">
        <is>
          <t>KARLSKRONA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46292</v>
      </c>
      <c r="F497" t="inlineStr">
        <is>
          <t>BLEKINGE LÄN</t>
        </is>
      </c>
      <c r="G497" t="inlineStr">
        <is>
          <t>KARLSKRONA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45875</v>
      </c>
      <c r="E498" s="1" t="n">
        <v>46292</v>
      </c>
      <c r="F498" t="inlineStr">
        <is>
          <t>BLEKINGE LÄN</t>
        </is>
      </c>
      <c r="G498" t="inlineStr">
        <is>
          <t>KARLSKRONA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52682-2024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46292</v>
      </c>
      <c r="F499" t="inlineStr">
        <is>
          <t>BLEKINGE LÄN</t>
        </is>
      </c>
      <c r="G499" t="inlineStr">
        <is>
          <t>KARLSKRONA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16292-2023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45028</v>
      </c>
      <c r="E500" s="1" t="n">
        <v>46292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46292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46292</v>
      </c>
      <c r="F502" t="inlineStr">
        <is>
          <t>BLEKINGE LÄN</t>
        </is>
      </c>
      <c r="G502" t="inlineStr">
        <is>
          <t>KARLSKRONA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46292</v>
      </c>
      <c r="F503" t="inlineStr">
        <is>
          <t>BLEKINGE LÄN</t>
        </is>
      </c>
      <c r="G503" t="inlineStr">
        <is>
          <t>KARLSKRONA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46292</v>
      </c>
      <c r="F504" t="inlineStr">
        <is>
          <t>BLEKINGE LÄN</t>
        </is>
      </c>
      <c r="G504" t="inlineStr">
        <is>
          <t>KARLSKRONA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45673</v>
      </c>
      <c r="E505" s="1" t="n">
        <v>46292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46292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29057-2026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46292</v>
      </c>
      <c r="F507" t="inlineStr">
        <is>
          <t>BLEKINGE LÄN</t>
        </is>
      </c>
      <c r="G507" t="inlineStr">
        <is>
          <t>KARLSKRONA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46292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74237-2021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46292</v>
      </c>
      <c r="F509" t="inlineStr">
        <is>
          <t>BLEKINGE LÄN</t>
        </is>
      </c>
      <c r="G509" t="inlineStr">
        <is>
          <t>KARLSKRONA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45075</v>
      </c>
      <c r="E510" s="1" t="n">
        <v>46292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44641</v>
      </c>
      <c r="E511" s="1" t="n">
        <v>46292</v>
      </c>
      <c r="F511" t="inlineStr">
        <is>
          <t>BLEKINGE LÄN</t>
        </is>
      </c>
      <c r="G511" t="inlineStr">
        <is>
          <t>KARLSKRONA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67336-2021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44523</v>
      </c>
      <c r="E512" s="1" t="n">
        <v>46292</v>
      </c>
      <c r="F512" t="inlineStr">
        <is>
          <t>BLEKINGE LÄN</t>
        </is>
      </c>
      <c r="G512" t="inlineStr">
        <is>
          <t>KARLSKRONA</t>
        </is>
      </c>
      <c r="I512" t="n">
        <v>13.4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46292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10629-2022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44624</v>
      </c>
      <c r="E514" s="1" t="n">
        <v>46292</v>
      </c>
      <c r="F514" t="inlineStr">
        <is>
          <t>BLEKINGE LÄN</t>
        </is>
      </c>
      <c r="G514" t="inlineStr">
        <is>
          <t>KARLSKRONA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15456-2025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46292</v>
      </c>
      <c r="F515" t="inlineStr">
        <is>
          <t>BLEKINGE LÄN</t>
        </is>
      </c>
      <c r="G515" t="inlineStr">
        <is>
          <t>KARLSKRONA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38392-2023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45162</v>
      </c>
      <c r="E516" s="1" t="n">
        <v>46292</v>
      </c>
      <c r="F516" t="inlineStr">
        <is>
          <t>BLEKINGE LÄN</t>
        </is>
      </c>
      <c r="G516" t="inlineStr">
        <is>
          <t>KARLSKRONA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46292</v>
      </c>
      <c r="F517" t="inlineStr">
        <is>
          <t>BLEKINGE LÄN</t>
        </is>
      </c>
      <c r="G517" t="inlineStr">
        <is>
          <t>KARLSKRONA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9763-2022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44619</v>
      </c>
      <c r="E518" s="1" t="n">
        <v>46292</v>
      </c>
      <c r="F518" t="inlineStr">
        <is>
          <t>BLEKINGE LÄN</t>
        </is>
      </c>
      <c r="G518" t="inlineStr">
        <is>
          <t>KARLSKRONA</t>
        </is>
      </c>
      <c r="I518" t="n">
        <v>11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35858-2022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44799</v>
      </c>
      <c r="E519" s="1" t="n">
        <v>46292</v>
      </c>
      <c r="F519" t="inlineStr">
        <is>
          <t>BLEKINGE LÄN</t>
        </is>
      </c>
      <c r="G519" t="inlineStr">
        <is>
          <t>KARLSKRONA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46292</v>
      </c>
      <c r="F520" t="inlineStr">
        <is>
          <t>BLEKINGE LÄN</t>
        </is>
      </c>
      <c r="G520" t="inlineStr">
        <is>
          <t>KARLSKRONA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45883</v>
      </c>
      <c r="E521" s="1" t="n">
        <v>46292</v>
      </c>
      <c r="F521" t="inlineStr">
        <is>
          <t>BLEKINGE LÄN</t>
        </is>
      </c>
      <c r="G521" t="inlineStr">
        <is>
          <t>KARLSKRONA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46292</v>
      </c>
      <c r="F522" t="inlineStr">
        <is>
          <t>BLEKINGE LÄN</t>
        </is>
      </c>
      <c r="G522" t="inlineStr">
        <is>
          <t>KARLSKRONA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12030-2022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44636</v>
      </c>
      <c r="E523" s="1" t="n">
        <v>46292</v>
      </c>
      <c r="F523" t="inlineStr">
        <is>
          <t>BLEKINGE LÄN</t>
        </is>
      </c>
      <c r="G523" t="inlineStr">
        <is>
          <t>KARLSKRONA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45366</v>
      </c>
      <c r="E524" s="1" t="n">
        <v>46292</v>
      </c>
      <c r="F524" t="inlineStr">
        <is>
          <t>BLEKINGE LÄN</t>
        </is>
      </c>
      <c r="G524" t="inlineStr">
        <is>
          <t>KARLSKRONA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46292</v>
      </c>
      <c r="F525" t="inlineStr">
        <is>
          <t>BLEKINGE LÄN</t>
        </is>
      </c>
      <c r="G525" t="inlineStr">
        <is>
          <t>KARLSKRONA</t>
        </is>
      </c>
      <c r="I525" t="n">
        <v>39.4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44586</v>
      </c>
      <c r="E526" s="1" t="n">
        <v>46292</v>
      </c>
      <c r="F526" t="inlineStr">
        <is>
          <t>BLEKINGE LÄN</t>
        </is>
      </c>
      <c r="G526" t="inlineStr">
        <is>
          <t>KARLSKRONA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46292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46292</v>
      </c>
      <c r="F528" t="inlineStr">
        <is>
          <t>BLEKINGE LÄN</t>
        </is>
      </c>
      <c r="G528" t="inlineStr">
        <is>
          <t>KARLSKRONA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45440-2023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45194</v>
      </c>
      <c r="E529" s="1" t="n">
        <v>46292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45095</v>
      </c>
      <c r="E530" s="1" t="n">
        <v>46292</v>
      </c>
      <c r="F530" t="inlineStr">
        <is>
          <t>BLEKINGE LÄN</t>
        </is>
      </c>
      <c r="G530" t="inlineStr">
        <is>
          <t>KARLSKRONA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60501-2024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46292</v>
      </c>
      <c r="F531" t="inlineStr">
        <is>
          <t>BLEKINGE LÄN</t>
        </is>
      </c>
      <c r="G531" t="inlineStr">
        <is>
          <t>KARLSKRONA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44754</v>
      </c>
      <c r="E532" s="1" t="n">
        <v>46292</v>
      </c>
      <c r="F532" t="inlineStr">
        <is>
          <t>BLEKINGE LÄN</t>
        </is>
      </c>
      <c r="G532" t="inlineStr">
        <is>
          <t>KARLSKRONA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46292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46206</v>
      </c>
      <c r="E534" s="1" t="n">
        <v>46292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46292</v>
      </c>
      <c r="F535" t="inlineStr">
        <is>
          <t>BLEKINGE LÄN</t>
        </is>
      </c>
      <c r="G535" t="inlineStr">
        <is>
          <t>KARLSKRONA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45196</v>
      </c>
      <c r="E536" s="1" t="n">
        <v>46292</v>
      </c>
      <c r="F536" t="inlineStr">
        <is>
          <t>BLEKINGE LÄN</t>
        </is>
      </c>
      <c r="G536" t="inlineStr">
        <is>
          <t>KARLSKRONA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46292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46253</v>
      </c>
      <c r="E538" s="1" t="n">
        <v>46292</v>
      </c>
      <c r="F538" t="inlineStr">
        <is>
          <t>BLEKINGE LÄN</t>
        </is>
      </c>
      <c r="G538" t="inlineStr">
        <is>
          <t>KARLSKRONA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34171-2026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46253</v>
      </c>
      <c r="E539" s="1" t="n">
        <v>46292</v>
      </c>
      <c r="F539" t="inlineStr">
        <is>
          <t>BLEKINGE LÄN</t>
        </is>
      </c>
      <c r="G539" t="inlineStr">
        <is>
          <t>KARLSKRONA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45198</v>
      </c>
      <c r="E540" s="1" t="n">
        <v>46292</v>
      </c>
      <c r="F540" t="inlineStr">
        <is>
          <t>BLEKINGE LÄN</t>
        </is>
      </c>
      <c r="G540" t="inlineStr">
        <is>
          <t>KARLSKRONA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24179-2022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44725</v>
      </c>
      <c r="E541" s="1" t="n">
        <v>46292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21486-2022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44706</v>
      </c>
      <c r="E542" s="1" t="n">
        <v>46292</v>
      </c>
      <c r="F542" t="inlineStr">
        <is>
          <t>BLEKINGE LÄN</t>
        </is>
      </c>
      <c r="G542" t="inlineStr">
        <is>
          <t>KARLSKRONA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46292</v>
      </c>
      <c r="F543" t="inlineStr">
        <is>
          <t>BLEKINGE LÄN</t>
        </is>
      </c>
      <c r="G543" t="inlineStr">
        <is>
          <t>KARLSKRONA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46292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46292</v>
      </c>
      <c r="F545" t="inlineStr">
        <is>
          <t>BLEKINGE LÄN</t>
        </is>
      </c>
      <c r="G545" t="inlineStr">
        <is>
          <t>KARLSKRONA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46292</v>
      </c>
      <c r="F546" t="inlineStr">
        <is>
          <t>BLEKINGE LÄN</t>
        </is>
      </c>
      <c r="G546" t="inlineStr">
        <is>
          <t>KARLSKRONA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46292</v>
      </c>
      <c r="F547" t="inlineStr">
        <is>
          <t>BLEKINGE LÄN</t>
        </is>
      </c>
      <c r="G547" t="inlineStr">
        <is>
          <t>KARLSKRONA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46292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46292</v>
      </c>
      <c r="F549" t="inlineStr">
        <is>
          <t>BLEKINGE LÄN</t>
        </is>
      </c>
      <c r="G549" t="inlineStr">
        <is>
          <t>KARLSKRONA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45531</v>
      </c>
      <c r="E550" s="1" t="n">
        <v>46292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45578</v>
      </c>
      <c r="E551" s="1" t="n">
        <v>46292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46292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46292</v>
      </c>
      <c r="F553" t="inlineStr">
        <is>
          <t>BLEKINGE LÄN</t>
        </is>
      </c>
      <c r="G553" t="inlineStr">
        <is>
          <t>KARLSKRONA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40936-2023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46292</v>
      </c>
      <c r="F554" t="inlineStr">
        <is>
          <t>BLEKINGE LÄN</t>
        </is>
      </c>
      <c r="G554" t="inlineStr">
        <is>
          <t>KARLSKRONA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9306-2022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44616</v>
      </c>
      <c r="E555" s="1" t="n">
        <v>46292</v>
      </c>
      <c r="F555" t="inlineStr">
        <is>
          <t>BLEKINGE LÄN</t>
        </is>
      </c>
      <c r="G555" t="inlineStr">
        <is>
          <t>KARLSKRONA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46292</v>
      </c>
      <c r="F556" t="inlineStr">
        <is>
          <t>BLEKINGE LÄN</t>
        </is>
      </c>
      <c r="G556" t="inlineStr">
        <is>
          <t>KARLSKRONA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44728</v>
      </c>
      <c r="E557" s="1" t="n">
        <v>46292</v>
      </c>
      <c r="F557" t="inlineStr">
        <is>
          <t>BLEKINGE LÄN</t>
        </is>
      </c>
      <c r="G557" t="inlineStr">
        <is>
          <t>KARLSKRONA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46292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45697</v>
      </c>
      <c r="E559" s="1" t="n">
        <v>46292</v>
      </c>
      <c r="F559" t="inlineStr">
        <is>
          <t>BLEKINGE LÄN</t>
        </is>
      </c>
      <c r="G559" t="inlineStr">
        <is>
          <t>KARLSKRONA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44742</v>
      </c>
      <c r="E560" s="1" t="n">
        <v>46292</v>
      </c>
      <c r="F560" t="inlineStr">
        <is>
          <t>BLEKINGE LÄN</t>
        </is>
      </c>
      <c r="G560" t="inlineStr">
        <is>
          <t>KARLSKRONA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37394-2022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46292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21997-2022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44711</v>
      </c>
      <c r="E562" s="1" t="n">
        <v>46292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9153-2026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46292</v>
      </c>
      <c r="F563" t="inlineStr">
        <is>
          <t>BLEKINGE LÄN</t>
        </is>
      </c>
      <c r="G563" t="inlineStr">
        <is>
          <t>KARLSKRONA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30106-2022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44757</v>
      </c>
      <c r="E564" s="1" t="n">
        <v>46292</v>
      </c>
      <c r="F564" t="inlineStr">
        <is>
          <t>BLEKINGE LÄN</t>
        </is>
      </c>
      <c r="G564" t="inlineStr">
        <is>
          <t>KARLSKRONA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11630-2022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44631</v>
      </c>
      <c r="E565" s="1" t="n">
        <v>46292</v>
      </c>
      <c r="F565" t="inlineStr">
        <is>
          <t>BLEKINGE LÄN</t>
        </is>
      </c>
      <c r="G565" t="inlineStr">
        <is>
          <t>KARLSKRONA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46292</v>
      </c>
      <c r="F566" t="inlineStr">
        <is>
          <t>BLEKINGE LÄN</t>
        </is>
      </c>
      <c r="G566" t="inlineStr">
        <is>
          <t>KARLSKRONA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45463</v>
      </c>
      <c r="E567" s="1" t="n">
        <v>46292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35732-2026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46292</v>
      </c>
      <c r="F568" t="inlineStr">
        <is>
          <t>BLEKINGE LÄN</t>
        </is>
      </c>
      <c r="G568" t="inlineStr">
        <is>
          <t>KARLSKRONA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55434-2023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46292</v>
      </c>
      <c r="F569" t="inlineStr">
        <is>
          <t>BLEKINGE LÄN</t>
        </is>
      </c>
      <c r="G569" t="inlineStr">
        <is>
          <t>KARLSKRONA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42323-2023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45180</v>
      </c>
      <c r="E570" s="1" t="n">
        <v>46292</v>
      </c>
      <c r="F570" t="inlineStr">
        <is>
          <t>BLEKINGE LÄN</t>
        </is>
      </c>
      <c r="G570" t="inlineStr">
        <is>
          <t>KARLSKRONA</t>
        </is>
      </c>
      <c r="I570" t="n">
        <v>14.7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40074-2022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44820</v>
      </c>
      <c r="E571" s="1" t="n">
        <v>46292</v>
      </c>
      <c r="F571" t="inlineStr">
        <is>
          <t>BLEKINGE LÄN</t>
        </is>
      </c>
      <c r="G571" t="inlineStr">
        <is>
          <t>KARLSKRONA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27277-2026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46188</v>
      </c>
      <c r="E572" s="1" t="n">
        <v>46292</v>
      </c>
      <c r="F572" t="inlineStr">
        <is>
          <t>BLEKINGE LÄN</t>
        </is>
      </c>
      <c r="G572" t="inlineStr">
        <is>
          <t>KARLSKRONA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46292</v>
      </c>
      <c r="F573" t="inlineStr">
        <is>
          <t>BLEKINGE LÄN</t>
        </is>
      </c>
      <c r="G573" t="inlineStr">
        <is>
          <t>KARLSKRONA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44722</v>
      </c>
      <c r="E574" s="1" t="n">
        <v>46292</v>
      </c>
      <c r="F574" t="inlineStr">
        <is>
          <t>BLEKINGE LÄN</t>
        </is>
      </c>
      <c r="G574" t="inlineStr">
        <is>
          <t>KARLSKRONA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46292</v>
      </c>
      <c r="F575" t="inlineStr">
        <is>
          <t>BLEKINGE LÄN</t>
        </is>
      </c>
      <c r="G575" t="inlineStr">
        <is>
          <t>KARLSKRONA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46292</v>
      </c>
      <c r="F576" t="inlineStr">
        <is>
          <t>BLEKINGE LÄN</t>
        </is>
      </c>
      <c r="G576" t="inlineStr">
        <is>
          <t>KARLSKRONA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46292</v>
      </c>
      <c r="F577" t="inlineStr">
        <is>
          <t>BLEKINGE LÄN</t>
        </is>
      </c>
      <c r="G577" t="inlineStr">
        <is>
          <t>KARLSKRONA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44930</v>
      </c>
      <c r="E578" s="1" t="n">
        <v>46292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10226-2024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45365</v>
      </c>
      <c r="E579" s="1" t="n">
        <v>46292</v>
      </c>
      <c r="F579" t="inlineStr">
        <is>
          <t>BLEKINGE LÄN</t>
        </is>
      </c>
      <c r="G579" t="inlineStr">
        <is>
          <t>KARLSKRONA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46292</v>
      </c>
      <c r="F580" t="inlineStr">
        <is>
          <t>BLEKINGE LÄN</t>
        </is>
      </c>
      <c r="G580" t="inlineStr">
        <is>
          <t>KARLSKRONA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46292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46292</v>
      </c>
      <c r="F582" t="inlineStr">
        <is>
          <t>BLEKINGE LÄN</t>
        </is>
      </c>
      <c r="G582" t="inlineStr">
        <is>
          <t>KARLSKRONA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46270</v>
      </c>
      <c r="E583" s="1" t="n">
        <v>46292</v>
      </c>
      <c r="F583" t="inlineStr">
        <is>
          <t>BLEKINGE LÄN</t>
        </is>
      </c>
      <c r="G583" t="inlineStr">
        <is>
          <t>KARLSKRONA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46292</v>
      </c>
      <c r="F584" t="inlineStr">
        <is>
          <t>BLEKINGE LÄN</t>
        </is>
      </c>
      <c r="G584" t="inlineStr">
        <is>
          <t>KARLSKRONA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9620-2024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45361</v>
      </c>
      <c r="E585" s="1" t="n">
        <v>46292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49693-2022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44862</v>
      </c>
      <c r="E586" s="1" t="n">
        <v>46292</v>
      </c>
      <c r="F586" t="inlineStr">
        <is>
          <t>BLEKINGE LÄN</t>
        </is>
      </c>
      <c r="G586" t="inlineStr">
        <is>
          <t>KARLSKRONA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55057-2022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44886</v>
      </c>
      <c r="E587" s="1" t="n">
        <v>46292</v>
      </c>
      <c r="F587" t="inlineStr">
        <is>
          <t>BLEKINGE LÄN</t>
        </is>
      </c>
      <c r="G587" t="inlineStr">
        <is>
          <t>KARLSKRONA</t>
        </is>
      </c>
      <c r="I587" t="n">
        <v>16.8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46292</v>
      </c>
      <c r="F588" t="inlineStr">
        <is>
          <t>BLEKINGE LÄN</t>
        </is>
      </c>
      <c r="G588" t="inlineStr">
        <is>
          <t>KARLSKRONA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46292</v>
      </c>
      <c r="F589" t="inlineStr">
        <is>
          <t>BLEKINGE LÄN</t>
        </is>
      </c>
      <c r="G589" t="inlineStr">
        <is>
          <t>KARLSKRONA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44946</v>
      </c>
      <c r="E590" s="1" t="n">
        <v>46292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7596-2024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45348</v>
      </c>
      <c r="E591" s="1" t="n">
        <v>46292</v>
      </c>
      <c r="F591" t="inlineStr">
        <is>
          <t>BLEKINGE LÄN</t>
        </is>
      </c>
      <c r="G591" t="inlineStr">
        <is>
          <t>KARLSKRONA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46901-2022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44851</v>
      </c>
      <c r="E592" s="1" t="n">
        <v>46292</v>
      </c>
      <c r="F592" t="inlineStr">
        <is>
          <t>BLEKINGE LÄN</t>
        </is>
      </c>
      <c r="G592" t="inlineStr">
        <is>
          <t>KARLSKRONA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44753</v>
      </c>
      <c r="E593" s="1" t="n">
        <v>46292</v>
      </c>
      <c r="F593" t="inlineStr">
        <is>
          <t>BLEKINGE LÄN</t>
        </is>
      </c>
      <c r="G593" t="inlineStr">
        <is>
          <t>KARLSKRONA</t>
        </is>
      </c>
      <c r="I593" t="n">
        <v>9.5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46230</v>
      </c>
      <c r="E594" s="1" t="n">
        <v>46292</v>
      </c>
      <c r="F594" t="inlineStr">
        <is>
          <t>BLEKINGE LÄN</t>
        </is>
      </c>
      <c r="G594" t="inlineStr">
        <is>
          <t>KARLSKRONA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45309</v>
      </c>
      <c r="E595" s="1" t="n">
        <v>46292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63981-2023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46292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45159</v>
      </c>
      <c r="E597" s="1" t="n">
        <v>46292</v>
      </c>
      <c r="F597" t="inlineStr">
        <is>
          <t>BLEKINGE LÄN</t>
        </is>
      </c>
      <c r="G597" t="inlineStr">
        <is>
          <t>KARLSKRONA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44874</v>
      </c>
      <c r="E598" s="1" t="n">
        <v>46292</v>
      </c>
      <c r="F598" t="inlineStr">
        <is>
          <t>BLEKINGE LÄN</t>
        </is>
      </c>
      <c r="G598" t="inlineStr">
        <is>
          <t>KARLSKRONA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46292</v>
      </c>
      <c r="F599" t="inlineStr">
        <is>
          <t>BLEKINGE LÄN</t>
        </is>
      </c>
      <c r="G599" t="inlineStr">
        <is>
          <t>KARLSKRONA</t>
        </is>
      </c>
      <c r="I599" t="n">
        <v>12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46292</v>
      </c>
      <c r="F600" t="inlineStr">
        <is>
          <t>BLEKINGE LÄN</t>
        </is>
      </c>
      <c r="G600" t="inlineStr">
        <is>
          <t>KARLSKRONA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16639-2022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44672</v>
      </c>
      <c r="E601" s="1" t="n">
        <v>46292</v>
      </c>
      <c r="F601" t="inlineStr">
        <is>
          <t>BLEKINGE LÄN</t>
        </is>
      </c>
      <c r="G601" t="inlineStr">
        <is>
          <t>KARLSKRONA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44636</v>
      </c>
      <c r="E602" s="1" t="n">
        <v>46292</v>
      </c>
      <c r="F602" t="inlineStr">
        <is>
          <t>BLEKINGE LÄN</t>
        </is>
      </c>
      <c r="G602" t="inlineStr">
        <is>
          <t>KARLSKRONA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44585</v>
      </c>
      <c r="E603" s="1" t="n">
        <v>46292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45140</v>
      </c>
      <c r="E604" s="1" t="n">
        <v>46292</v>
      </c>
      <c r="F604" t="inlineStr">
        <is>
          <t>BLEKINGE LÄN</t>
        </is>
      </c>
      <c r="G604" t="inlineStr">
        <is>
          <t>KARLSKRONA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23072-2023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45070</v>
      </c>
      <c r="E605" s="1" t="n">
        <v>46292</v>
      </c>
      <c r="F605" t="inlineStr">
        <is>
          <t>BLEKINGE LÄN</t>
        </is>
      </c>
      <c r="G605" t="inlineStr">
        <is>
          <t>KARLSKRONA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45645</v>
      </c>
      <c r="E606" s="1" t="n">
        <v>46292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972-2024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46292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45335</v>
      </c>
      <c r="E608" s="1" t="n">
        <v>46292</v>
      </c>
      <c r="F608" t="inlineStr">
        <is>
          <t>BLEKINGE LÄN</t>
        </is>
      </c>
      <c r="G608" t="inlineStr">
        <is>
          <t>KARLSKRONA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50015-2023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45215</v>
      </c>
      <c r="E609" s="1" t="n">
        <v>46292</v>
      </c>
      <c r="F609" t="inlineStr">
        <is>
          <t>BLEKINGE LÄN</t>
        </is>
      </c>
      <c r="G609" t="inlineStr">
        <is>
          <t>KARLSKRONA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46292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45981</v>
      </c>
      <c r="E611" s="1" t="n">
        <v>46292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58040-2022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46292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46292</v>
      </c>
      <c r="F613" t="inlineStr">
        <is>
          <t>BLEKINGE LÄN</t>
        </is>
      </c>
      <c r="G613" t="inlineStr">
        <is>
          <t>KARLSKRONA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65798-2021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44517</v>
      </c>
      <c r="E614" s="1" t="n">
        <v>46292</v>
      </c>
      <c r="F614" t="inlineStr">
        <is>
          <t>BLEKINGE LÄN</t>
        </is>
      </c>
      <c r="G614" t="inlineStr">
        <is>
          <t>KARLSKRONA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46292</v>
      </c>
      <c r="F615" t="inlineStr">
        <is>
          <t>BLEKINGE LÄN</t>
        </is>
      </c>
      <c r="G615" t="inlineStr">
        <is>
          <t>KARLSKRONA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30657-2024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45495</v>
      </c>
      <c r="E616" s="1" t="n">
        <v>46292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46292</v>
      </c>
      <c r="F617" t="inlineStr">
        <is>
          <t>BLEKINGE LÄN</t>
        </is>
      </c>
      <c r="G617" t="inlineStr">
        <is>
          <t>KARLSKRONA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45887</v>
      </c>
      <c r="E618" s="1" t="n">
        <v>46292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46283</v>
      </c>
      <c r="E619" s="1" t="n">
        <v>46292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46292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52810-2024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45610</v>
      </c>
      <c r="E621" s="1" t="n">
        <v>46292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46292</v>
      </c>
      <c r="F622" t="inlineStr">
        <is>
          <t>BLEKINGE LÄN</t>
        </is>
      </c>
      <c r="G622" t="inlineStr">
        <is>
          <t>KARLSKRONA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8197-2024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45351</v>
      </c>
      <c r="E623" s="1" t="n">
        <v>46292</v>
      </c>
      <c r="F623" t="inlineStr">
        <is>
          <t>BLEKINGE LÄN</t>
        </is>
      </c>
      <c r="G623" t="inlineStr">
        <is>
          <t>KARLSKRONA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26605-2023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46292</v>
      </c>
      <c r="F624" t="inlineStr">
        <is>
          <t>BLEKINGE LÄN</t>
        </is>
      </c>
      <c r="G624" t="inlineStr">
        <is>
          <t>KARLSKRONA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9029-2026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46069</v>
      </c>
      <c r="E625" s="1" t="n">
        <v>46292</v>
      </c>
      <c r="F625" t="inlineStr">
        <is>
          <t>BLEKINGE LÄN</t>
        </is>
      </c>
      <c r="G625" t="inlineStr">
        <is>
          <t>KARLSKRONA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45456</v>
      </c>
      <c r="E626" s="1" t="n">
        <v>46292</v>
      </c>
      <c r="F626" t="inlineStr">
        <is>
          <t>BLEKINGE LÄN</t>
        </is>
      </c>
      <c r="G626" t="inlineStr">
        <is>
          <t>KARLSKRONA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46292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71708-2021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44543</v>
      </c>
      <c r="E628" s="1" t="n">
        <v>46292</v>
      </c>
      <c r="F628" t="inlineStr">
        <is>
          <t>BLEKINGE LÄN</t>
        </is>
      </c>
      <c r="G628" t="inlineStr">
        <is>
          <t>KARLSKRONA</t>
        </is>
      </c>
      <c r="I628" t="n">
        <v>9.4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46239</v>
      </c>
      <c r="E629" s="1" t="n">
        <v>46292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55374-2023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46292</v>
      </c>
      <c r="F630" t="inlineStr">
        <is>
          <t>BLEKINGE LÄN</t>
        </is>
      </c>
      <c r="G630" t="inlineStr">
        <is>
          <t>KARLSKRONA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30660-2024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45495</v>
      </c>
      <c r="E631" s="1" t="n">
        <v>46292</v>
      </c>
      <c r="F631" t="inlineStr">
        <is>
          <t>BLEKINGE LÄN</t>
        </is>
      </c>
      <c r="G631" t="inlineStr">
        <is>
          <t>KARLSKRONA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38185-2023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46292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45243</v>
      </c>
      <c r="E633" s="1" t="n">
        <v>46292</v>
      </c>
      <c r="F633" t="inlineStr">
        <is>
          <t>BLEKINGE LÄN</t>
        </is>
      </c>
      <c r="G633" t="inlineStr">
        <is>
          <t>KARLSKRONA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47336-2023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45202</v>
      </c>
      <c r="E634" s="1" t="n">
        <v>46292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46292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45358</v>
      </c>
      <c r="E636" s="1" t="n">
        <v>46292</v>
      </c>
      <c r="F636" t="inlineStr">
        <is>
          <t>BLEKINGE LÄN</t>
        </is>
      </c>
      <c r="G636" t="inlineStr">
        <is>
          <t>KARLSKRONA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7119-2024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45344</v>
      </c>
      <c r="E637" s="1" t="n">
        <v>46292</v>
      </c>
      <c r="F637" t="inlineStr">
        <is>
          <t>BLEKINGE LÄN</t>
        </is>
      </c>
      <c r="G637" t="inlineStr">
        <is>
          <t>KARLSKRONA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59349-2021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44491</v>
      </c>
      <c r="E638" s="1" t="n">
        <v>46292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38619-2023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45162</v>
      </c>
      <c r="E639" s="1" t="n">
        <v>46292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46292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37477-2026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46275</v>
      </c>
      <c r="E641" s="1" t="n">
        <v>46292</v>
      </c>
      <c r="F641" t="inlineStr">
        <is>
          <t>BLEKINGE LÄN</t>
        </is>
      </c>
      <c r="G641" t="inlineStr">
        <is>
          <t>KARLSKRONA</t>
        </is>
      </c>
      <c r="H641" t="inlineStr">
        <is>
          <t>Övriga statliga verk och myndigheter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  <c r="X641">
        <f>HYPERLINK("https://klasma.github.io/Logging_1080/kartor/A 37477-2026 karta.png", "A 37477-2026")</f>
        <v/>
      </c>
      <c r="Y641">
        <f>HYPERLINK("https://klasma.github.io/Logging_1080/kartor_geotiff/A 37477-2026 georefererad karta.tif", "A 37477-2026")</f>
        <v/>
      </c>
      <c r="AA641">
        <f>HYPERLINK("https://klasma.github.io/Logging_1080/klagomål/A 37477-2026 FSC-klagomål.docx", "A 37477-2026")</f>
        <v/>
      </c>
      <c r="AB641">
        <f>HYPERLINK("https://klasma.github.io/Logging_1080/klagomålsmail/A 37477-2026 FSC-klagomål mail.docx", "A 37477-2026")</f>
        <v/>
      </c>
      <c r="AC641">
        <f>HYPERLINK("https://klasma.github.io/Logging_1080/tillsyn/A 37477-2026 tillsynsbegäran.docx", "A 37477-2026")</f>
        <v/>
      </c>
      <c r="AD641">
        <f>HYPERLINK("https://klasma.github.io/Logging_1080/tillsynsmail/A 37477-2026 tillsynsbegäran mail.docx", "A 37477-2026")</f>
        <v/>
      </c>
    </row>
    <row r="642" ht="15" customHeight="1">
      <c r="A642" t="inlineStr">
        <is>
          <t>A 45687-2025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45923</v>
      </c>
      <c r="E642" s="1" t="n">
        <v>46292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32775-2026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46241</v>
      </c>
      <c r="E643" s="1" t="n">
        <v>46292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46283</v>
      </c>
      <c r="E644" s="1" t="n">
        <v>46292</v>
      </c>
      <c r="F644" t="inlineStr">
        <is>
          <t>BLEKINGE LÄN</t>
        </is>
      </c>
      <c r="G644" t="inlineStr">
        <is>
          <t>KARLSKRONA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46292</v>
      </c>
      <c r="F645" t="inlineStr">
        <is>
          <t>BLEKINGE LÄN</t>
        </is>
      </c>
      <c r="G645" t="inlineStr">
        <is>
          <t>KARLSKRONA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9745-2024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45362</v>
      </c>
      <c r="E646" s="1" t="n">
        <v>46292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45887</v>
      </c>
      <c r="E647" s="1" t="n">
        <v>46292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51351-2022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44869</v>
      </c>
      <c r="E648" s="1" t="n">
        <v>46292</v>
      </c>
      <c r="F648" t="inlineStr">
        <is>
          <t>BLEKINGE LÄN</t>
        </is>
      </c>
      <c r="G648" t="inlineStr">
        <is>
          <t>KARLSKRONA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6980-2023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44967</v>
      </c>
      <c r="E649" s="1" t="n">
        <v>46292</v>
      </c>
      <c r="F649" t="inlineStr">
        <is>
          <t>BLEKINGE LÄN</t>
        </is>
      </c>
      <c r="G649" t="inlineStr">
        <is>
          <t>KARLSKRONA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13411-2025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45735</v>
      </c>
      <c r="E650" s="1" t="n">
        <v>46292</v>
      </c>
      <c r="F650" t="inlineStr">
        <is>
          <t>BLEKINGE LÄN</t>
        </is>
      </c>
      <c r="G650" t="inlineStr">
        <is>
          <t>KARLSKRONA</t>
        </is>
      </c>
      <c r="I650" t="n">
        <v>11.8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45754</v>
      </c>
      <c r="E651" s="1" t="n">
        <v>46292</v>
      </c>
      <c r="F651" t="inlineStr">
        <is>
          <t>BLEKINGE LÄN</t>
        </is>
      </c>
      <c r="G651" t="inlineStr">
        <is>
          <t>KARLSKRONA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44909</v>
      </c>
      <c r="E652" s="1" t="n">
        <v>46292</v>
      </c>
      <c r="F652" t="inlineStr">
        <is>
          <t>BLEKINGE LÄN</t>
        </is>
      </c>
      <c r="G652" t="inlineStr">
        <is>
          <t>KARLSKRONA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42335-2023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45180</v>
      </c>
      <c r="E653" s="1" t="n">
        <v>46292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42861-2023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46292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45737</v>
      </c>
      <c r="E655" s="1" t="n">
        <v>46292</v>
      </c>
      <c r="F655" t="inlineStr">
        <is>
          <t>BLEKINGE LÄN</t>
        </is>
      </c>
      <c r="G655" t="inlineStr">
        <is>
          <t>KARLSKRONA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32971-2026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46292</v>
      </c>
      <c r="F656" t="inlineStr">
        <is>
          <t>BLEKINGE LÄN</t>
        </is>
      </c>
      <c r="G656" t="inlineStr">
        <is>
          <t>KARLSKRONA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46292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46292</v>
      </c>
      <c r="F658" t="inlineStr">
        <is>
          <t>BLEKINGE LÄN</t>
        </is>
      </c>
      <c r="G658" t="inlineStr">
        <is>
          <t>KARLSKRONA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15241-2023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45019</v>
      </c>
      <c r="E659" s="1" t="n">
        <v>46292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45069</v>
      </c>
      <c r="E660" s="1" t="n">
        <v>46292</v>
      </c>
      <c r="F660" t="inlineStr">
        <is>
          <t>BLEKINGE LÄN</t>
        </is>
      </c>
      <c r="G660" t="inlineStr">
        <is>
          <t>KARLSKRONA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46292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46288</v>
      </c>
      <c r="E662" s="1" t="n">
        <v>46292</v>
      </c>
      <c r="F662" t="inlineStr">
        <is>
          <t>BLEKINGE LÄN</t>
        </is>
      </c>
      <c r="G662" t="inlineStr">
        <is>
          <t>KARLSKRONA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45183</v>
      </c>
      <c r="E663" s="1" t="n">
        <v>46292</v>
      </c>
      <c r="F663" t="inlineStr">
        <is>
          <t>BLEKINGE LÄN</t>
        </is>
      </c>
      <c r="G663" t="inlineStr">
        <is>
          <t>KARLSKRONA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46245</v>
      </c>
      <c r="E664" s="1" t="n">
        <v>46292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39073-2026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46287</v>
      </c>
      <c r="E665" s="1" t="n">
        <v>46292</v>
      </c>
      <c r="F665" t="inlineStr">
        <is>
          <t>BLEKINGE LÄN</t>
        </is>
      </c>
      <c r="G665" t="inlineStr">
        <is>
          <t>KARLSKRONA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19150-2022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44691</v>
      </c>
      <c r="E666" s="1" t="n">
        <v>46292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46292</v>
      </c>
      <c r="F667" t="inlineStr">
        <is>
          <t>BLEKINGE LÄN</t>
        </is>
      </c>
      <c r="G667" t="inlineStr">
        <is>
          <t>KARLSKRONA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46292</v>
      </c>
      <c r="F668" t="inlineStr">
        <is>
          <t>BLEKINGE LÄN</t>
        </is>
      </c>
      <c r="G668" t="inlineStr">
        <is>
          <t>KARLSKRONA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31153-2026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46292</v>
      </c>
      <c r="F669" t="inlineStr">
        <is>
          <t>BLEKINGE LÄN</t>
        </is>
      </c>
      <c r="G669" t="inlineStr">
        <is>
          <t>KARLSKRONA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46246</v>
      </c>
      <c r="E670" s="1" t="n">
        <v>46292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46292</v>
      </c>
      <c r="F671" t="inlineStr">
        <is>
          <t>BLEKINGE LÄN</t>
        </is>
      </c>
      <c r="G671" t="inlineStr">
        <is>
          <t>KARLSKRONA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46292</v>
      </c>
      <c r="F672" t="inlineStr">
        <is>
          <t>BLEKINGE LÄN</t>
        </is>
      </c>
      <c r="G672" t="inlineStr">
        <is>
          <t>KARLSKRONA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13194-2023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45002</v>
      </c>
      <c r="E673" s="1" t="n">
        <v>46292</v>
      </c>
      <c r="F673" t="inlineStr">
        <is>
          <t>BLEKINGE LÄN</t>
        </is>
      </c>
      <c r="G673" t="inlineStr">
        <is>
          <t>KARLSKRONA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45169</v>
      </c>
      <c r="E674" s="1" t="n">
        <v>46292</v>
      </c>
      <c r="F674" t="inlineStr">
        <is>
          <t>BLEKINGE LÄN</t>
        </is>
      </c>
      <c r="G674" t="inlineStr">
        <is>
          <t>KARLSKRONA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46292</v>
      </c>
      <c r="F675" t="inlineStr">
        <is>
          <t>BLEKINGE LÄN</t>
        </is>
      </c>
      <c r="G675" t="inlineStr">
        <is>
          <t>KARLSKRONA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46246</v>
      </c>
      <c r="E676" s="1" t="n">
        <v>46292</v>
      </c>
      <c r="F676" t="inlineStr">
        <is>
          <t>BLEKINGE LÄN</t>
        </is>
      </c>
      <c r="G676" t="inlineStr">
        <is>
          <t>KARLSKRONA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27267-2022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44741</v>
      </c>
      <c r="E677" s="1" t="n">
        <v>46292</v>
      </c>
      <c r="F677" t="inlineStr">
        <is>
          <t>BLEKINGE LÄN</t>
        </is>
      </c>
      <c r="G677" t="inlineStr">
        <is>
          <t>KARLSKRONA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39870-2026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46290</v>
      </c>
      <c r="E678" s="1" t="n">
        <v>46292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44937</v>
      </c>
      <c r="E679" s="1" t="n">
        <v>46292</v>
      </c>
      <c r="F679" t="inlineStr">
        <is>
          <t>BLEKINGE LÄN</t>
        </is>
      </c>
      <c r="G679" t="inlineStr">
        <is>
          <t>KARLSKRONA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50546-2023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45217</v>
      </c>
      <c r="E680" s="1" t="n">
        <v>46292</v>
      </c>
      <c r="F680" t="inlineStr">
        <is>
          <t>BLEKINGE LÄN</t>
        </is>
      </c>
      <c r="G680" t="inlineStr">
        <is>
          <t>KARLSKRONA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2692-2022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44580</v>
      </c>
      <c r="E681" s="1" t="n">
        <v>46292</v>
      </c>
      <c r="F681" t="inlineStr">
        <is>
          <t>BLEKINGE LÄN</t>
        </is>
      </c>
      <c r="G681" t="inlineStr">
        <is>
          <t>KARLSKRONA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33267-2026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46246</v>
      </c>
      <c r="E682" s="1" t="n">
        <v>46292</v>
      </c>
      <c r="F682" t="inlineStr">
        <is>
          <t>BLEKINGE LÄN</t>
        </is>
      </c>
      <c r="G682" t="inlineStr">
        <is>
          <t>KARLSKRONA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57710-2025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45981</v>
      </c>
      <c r="E683" s="1" t="n">
        <v>46292</v>
      </c>
      <c r="F683" t="inlineStr">
        <is>
          <t>BLEKINGE LÄN</t>
        </is>
      </c>
      <c r="G683" t="inlineStr">
        <is>
          <t>KARLSKRONA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46292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39861-2026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46292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39273-2023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45166</v>
      </c>
      <c r="E686" s="1" t="n">
        <v>46292</v>
      </c>
      <c r="F686" t="inlineStr">
        <is>
          <t>BLEKINGE LÄN</t>
        </is>
      </c>
      <c r="G686" t="inlineStr">
        <is>
          <t>KARLSKRONA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17627-2023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45035</v>
      </c>
      <c r="E687" s="1" t="n">
        <v>46292</v>
      </c>
      <c r="F687" t="inlineStr">
        <is>
          <t>BLEKINGE LÄN</t>
        </is>
      </c>
      <c r="G687" t="inlineStr">
        <is>
          <t>KARLSKRONA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45013</v>
      </c>
      <c r="E688" s="1" t="n">
        <v>46292</v>
      </c>
      <c r="F688" t="inlineStr">
        <is>
          <t>BLEKINGE LÄN</t>
        </is>
      </c>
      <c r="G688" t="inlineStr">
        <is>
          <t>KARLSKRONA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46292</v>
      </c>
      <c r="F689" t="inlineStr">
        <is>
          <t>BLEKINGE LÄN</t>
        </is>
      </c>
      <c r="G689" t="inlineStr">
        <is>
          <t>KARLSKRONA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52696-2023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46292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46292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44930</v>
      </c>
      <c r="E692" s="1" t="n">
        <v>46292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43444-2024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45568</v>
      </c>
      <c r="E693" s="1" t="n">
        <v>46292</v>
      </c>
      <c r="F693" t="inlineStr">
        <is>
          <t>BLEKINGE LÄN</t>
        </is>
      </c>
      <c r="G693" t="inlineStr">
        <is>
          <t>KARLSKRONA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35464-2024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45531</v>
      </c>
      <c r="E694" s="1" t="n">
        <v>46292</v>
      </c>
      <c r="F694" t="inlineStr">
        <is>
          <t>BLEKINGE LÄN</t>
        </is>
      </c>
      <c r="G694" t="inlineStr">
        <is>
          <t>KARLSKRONA</t>
        </is>
      </c>
      <c r="I694" t="n">
        <v>7.8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44960</v>
      </c>
      <c r="E695" s="1" t="n">
        <v>46292</v>
      </c>
      <c r="F695" t="inlineStr">
        <is>
          <t>BLEKINGE LÄN</t>
        </is>
      </c>
      <c r="G695" t="inlineStr">
        <is>
          <t>KARLSKRONA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46035-2024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45580</v>
      </c>
      <c r="E696" s="1" t="n">
        <v>46292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31296-2023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45104</v>
      </c>
      <c r="E697" s="1" t="n">
        <v>46292</v>
      </c>
      <c r="F697" t="inlineStr">
        <is>
          <t>BLEKINGE LÄN</t>
        </is>
      </c>
      <c r="G697" t="inlineStr">
        <is>
          <t>KARLSKRONA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44942</v>
      </c>
      <c r="E698" s="1" t="n">
        <v>46292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19645-2023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45051</v>
      </c>
      <c r="E699" s="1" t="n">
        <v>46292</v>
      </c>
      <c r="F699" t="inlineStr">
        <is>
          <t>BLEKINGE LÄN</t>
        </is>
      </c>
      <c r="G699" t="inlineStr">
        <is>
          <t>KARLSKRONA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44593</v>
      </c>
      <c r="E700" s="1" t="n">
        <v>46292</v>
      </c>
      <c r="F700" t="inlineStr">
        <is>
          <t>BLEKINGE LÄN</t>
        </is>
      </c>
      <c r="G700" t="inlineStr">
        <is>
          <t>KARLSKRONA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45154</v>
      </c>
      <c r="E701" s="1" t="n">
        <v>46292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52821-2022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44875</v>
      </c>
      <c r="E702" s="1" t="n">
        <v>46292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60901-2022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44914</v>
      </c>
      <c r="E703" s="1" t="n">
        <v>46292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29352-2023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46292</v>
      </c>
      <c r="F704" t="inlineStr">
        <is>
          <t>BLEKINGE LÄN</t>
        </is>
      </c>
      <c r="G704" t="inlineStr">
        <is>
          <t>KARLSKRONA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53733-2024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46292</v>
      </c>
      <c r="F705" t="inlineStr">
        <is>
          <t>BLEKINGE LÄN</t>
        </is>
      </c>
      <c r="G705" t="inlineStr">
        <is>
          <t>KARLSKRONA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45537</v>
      </c>
      <c r="E706" s="1" t="n">
        <v>46292</v>
      </c>
      <c r="F706" t="inlineStr">
        <is>
          <t>BLEKINGE LÄN</t>
        </is>
      </c>
      <c r="G706" t="inlineStr">
        <is>
          <t>KARLSKRONA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58059-2022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46292</v>
      </c>
      <c r="F707" t="inlineStr">
        <is>
          <t>BLEKINGE LÄN</t>
        </is>
      </c>
      <c r="G707" t="inlineStr">
        <is>
          <t>KARLSKRONA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45908-2023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45195</v>
      </c>
      <c r="E708" s="1" t="n">
        <v>46292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46292</v>
      </c>
      <c r="F709" t="inlineStr">
        <is>
          <t>BLEKINGE LÄN</t>
        </is>
      </c>
      <c r="G709" t="inlineStr">
        <is>
          <t>KARLSKRONA</t>
        </is>
      </c>
      <c r="I709" t="n">
        <v>10.5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45324</v>
      </c>
      <c r="E710" s="1" t="n">
        <v>46292</v>
      </c>
      <c r="F710" t="inlineStr">
        <is>
          <t>BLEKINGE LÄN</t>
        </is>
      </c>
      <c r="G710" t="inlineStr">
        <is>
          <t>KARLSKRONA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46292</v>
      </c>
      <c r="F711" t="inlineStr">
        <is>
          <t>BLEKINGE LÄN</t>
        </is>
      </c>
      <c r="G711" t="inlineStr">
        <is>
          <t>KARLSKRONA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46292</v>
      </c>
      <c r="F712" t="inlineStr">
        <is>
          <t>BLEKINGE LÄN</t>
        </is>
      </c>
      <c r="G712" t="inlineStr">
        <is>
          <t>KARLSKRONA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39391-2023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45166</v>
      </c>
      <c r="E713" s="1" t="n">
        <v>46292</v>
      </c>
      <c r="F713" t="inlineStr">
        <is>
          <t>BLEKINGE LÄN</t>
        </is>
      </c>
      <c r="G713" t="inlineStr">
        <is>
          <t>KARLSKRONA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24948-2023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45085</v>
      </c>
      <c r="E714" s="1" t="n">
        <v>46292</v>
      </c>
      <c r="F714" t="inlineStr">
        <is>
          <t>BLEKINGE LÄN</t>
        </is>
      </c>
      <c r="G714" t="inlineStr">
        <is>
          <t>KARLSKRONA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6509-2024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45340</v>
      </c>
      <c r="E715" s="1" t="n">
        <v>46292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37627-2023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45159</v>
      </c>
      <c r="E716" s="1" t="n">
        <v>46292</v>
      </c>
      <c r="F716" t="inlineStr">
        <is>
          <t>BLEKINGE LÄN</t>
        </is>
      </c>
      <c r="G716" t="inlineStr">
        <is>
          <t>KARLSKRONA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45048</v>
      </c>
      <c r="E717" s="1" t="n">
        <v>46292</v>
      </c>
      <c r="F717" t="inlineStr">
        <is>
          <t>BLEKINGE LÄN</t>
        </is>
      </c>
      <c r="G717" t="inlineStr">
        <is>
          <t>KARLSKRONA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58804-2022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44903</v>
      </c>
      <c r="E718" s="1" t="n">
        <v>46292</v>
      </c>
      <c r="F718" t="inlineStr">
        <is>
          <t>BLEKINGE LÄN</t>
        </is>
      </c>
      <c r="G718" t="inlineStr">
        <is>
          <t>KARLSKRONA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11024-2024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46292</v>
      </c>
      <c r="F719" t="inlineStr">
        <is>
          <t>BLEKINGE LÄN</t>
        </is>
      </c>
      <c r="G719" t="inlineStr">
        <is>
          <t>KARLSKRONA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46292</v>
      </c>
      <c r="F720" t="inlineStr">
        <is>
          <t>BLEKINGE LÄN</t>
        </is>
      </c>
      <c r="G720" t="inlineStr">
        <is>
          <t>KARLSKRONA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45454</v>
      </c>
      <c r="E721" s="1" t="n">
        <v>46292</v>
      </c>
      <c r="F721" t="inlineStr">
        <is>
          <t>BLEKINGE LÄN</t>
        </is>
      </c>
      <c r="G721" t="inlineStr">
        <is>
          <t>KARLSKRONA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10980-2023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44991</v>
      </c>
      <c r="E722" s="1" t="n">
        <v>46292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16288-2023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45028</v>
      </c>
      <c r="E723" s="1" t="n">
        <v>46292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39537-2024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45551</v>
      </c>
      <c r="E724" s="1" t="n">
        <v>46292</v>
      </c>
      <c r="F724" t="inlineStr">
        <is>
          <t>BLEKINGE LÄN</t>
        </is>
      </c>
      <c r="G724" t="inlineStr">
        <is>
          <t>KARLSKRONA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46292</v>
      </c>
      <c r="F725" t="inlineStr">
        <is>
          <t>BLEKINGE LÄN</t>
        </is>
      </c>
      <c r="G725" t="inlineStr">
        <is>
          <t>KARLSKRONA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45672</v>
      </c>
      <c r="E726" s="1" t="n">
        <v>46292</v>
      </c>
      <c r="F726" t="inlineStr">
        <is>
          <t>BLEKINGE LÄN</t>
        </is>
      </c>
      <c r="G726" t="inlineStr">
        <is>
          <t>KARLSKRONA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36577-2024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45537</v>
      </c>
      <c r="E727" s="1" t="n">
        <v>46292</v>
      </c>
      <c r="F727" t="inlineStr">
        <is>
          <t>BLEKINGE LÄN</t>
        </is>
      </c>
      <c r="G727" t="inlineStr">
        <is>
          <t>KARLSKRONA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59884-2023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46292</v>
      </c>
      <c r="F728" t="inlineStr">
        <is>
          <t>BLEKINGE LÄN</t>
        </is>
      </c>
      <c r="G728" t="inlineStr">
        <is>
          <t>KARLSKRONA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42074-2023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45174</v>
      </c>
      <c r="E729" s="1" t="n">
        <v>46292</v>
      </c>
      <c r="F729" t="inlineStr">
        <is>
          <t>BLEKINGE LÄN</t>
        </is>
      </c>
      <c r="G729" t="inlineStr">
        <is>
          <t>KARLSKRONA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664-2025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45662</v>
      </c>
      <c r="E730" s="1" t="n">
        <v>46292</v>
      </c>
      <c r="F730" t="inlineStr">
        <is>
          <t>BLEKINGE LÄN</t>
        </is>
      </c>
      <c r="G730" t="inlineStr">
        <is>
          <t>KARLSKRONA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45251</v>
      </c>
      <c r="E731" s="1" t="n">
        <v>46292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51934-2023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45223</v>
      </c>
      <c r="E732" s="1" t="n">
        <v>46292</v>
      </c>
      <c r="F732" t="inlineStr">
        <is>
          <t>BLEKINGE LÄN</t>
        </is>
      </c>
      <c r="G732" t="inlineStr">
        <is>
          <t>KARLSKRONA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45094</v>
      </c>
      <c r="E733" s="1" t="n">
        <v>46292</v>
      </c>
      <c r="F733" t="inlineStr">
        <is>
          <t>BLEKINGE LÄN</t>
        </is>
      </c>
      <c r="G733" t="inlineStr">
        <is>
          <t>KARLSKRONA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45212</v>
      </c>
      <c r="E734" s="1" t="n">
        <v>46292</v>
      </c>
      <c r="F734" t="inlineStr">
        <is>
          <t>BLEKINGE LÄN</t>
        </is>
      </c>
      <c r="G734" t="inlineStr">
        <is>
          <t>KARLSKRONA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54956-2024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45619</v>
      </c>
      <c r="E735" s="1" t="n">
        <v>46292</v>
      </c>
      <c r="F735" t="inlineStr">
        <is>
          <t>BLEKINGE LÄN</t>
        </is>
      </c>
      <c r="G735" t="inlineStr">
        <is>
          <t>KARLSKRONA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7994-2025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45707</v>
      </c>
      <c r="E736" s="1" t="n">
        <v>46292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45443</v>
      </c>
      <c r="E737" s="1" t="n">
        <v>46292</v>
      </c>
      <c r="F737" t="inlineStr">
        <is>
          <t>BLEKINGE LÄN</t>
        </is>
      </c>
      <c r="G737" t="inlineStr">
        <is>
          <t>KARLSKRONA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45328</v>
      </c>
      <c r="E738" s="1" t="n">
        <v>46292</v>
      </c>
      <c r="F738" t="inlineStr">
        <is>
          <t>BLEKINGE LÄN</t>
        </is>
      </c>
      <c r="G738" t="inlineStr">
        <is>
          <t>KARLSKRONA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17092-2023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45034</v>
      </c>
      <c r="E739" s="1" t="n">
        <v>46292</v>
      </c>
      <c r="F739" t="inlineStr">
        <is>
          <t>BLEKINGE LÄN</t>
        </is>
      </c>
      <c r="G739" t="inlineStr">
        <is>
          <t>KARLSKRONA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45218</v>
      </c>
      <c r="E740" s="1" t="n">
        <v>46292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45393</v>
      </c>
      <c r="E741" s="1" t="n">
        <v>46292</v>
      </c>
      <c r="F741" t="inlineStr">
        <is>
          <t>BLEKINGE LÄN</t>
        </is>
      </c>
      <c r="G741" t="inlineStr">
        <is>
          <t>KARLSKRONA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45154</v>
      </c>
      <c r="E742" s="1" t="n">
        <v>46292</v>
      </c>
      <c r="F742" t="inlineStr">
        <is>
          <t>BLEKINGE LÄN</t>
        </is>
      </c>
      <c r="G742" t="inlineStr">
        <is>
          <t>KARLSKRONA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72273-2021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44545</v>
      </c>
      <c r="E743" s="1" t="n">
        <v>46292</v>
      </c>
      <c r="F743" t="inlineStr">
        <is>
          <t>BLEKINGE LÄN</t>
        </is>
      </c>
      <c r="G743" t="inlineStr">
        <is>
          <t>KARLSKRONA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46292</v>
      </c>
      <c r="F744" t="inlineStr">
        <is>
          <t>BLEKINGE LÄN</t>
        </is>
      </c>
      <c r="G744" t="inlineStr">
        <is>
          <t>KARLSKRONA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24931-2023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46292</v>
      </c>
      <c r="F745" t="inlineStr">
        <is>
          <t>BLEKINGE LÄN</t>
        </is>
      </c>
      <c r="G745" t="inlineStr">
        <is>
          <t>KARLSKRONA</t>
        </is>
      </c>
      <c r="I745" t="n">
        <v>10.9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46292</v>
      </c>
      <c r="F746" t="inlineStr">
        <is>
          <t>BLEKINGE LÄN</t>
        </is>
      </c>
      <c r="G746" t="inlineStr">
        <is>
          <t>KARLSKRONA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24482-2023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45082</v>
      </c>
      <c r="E747" s="1" t="n">
        <v>46292</v>
      </c>
      <c r="F747" t="inlineStr">
        <is>
          <t>BLEKINGE LÄN</t>
        </is>
      </c>
      <c r="G747" t="inlineStr">
        <is>
          <t>KARLSKRONA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29373-2024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45483</v>
      </c>
      <c r="E748" s="1" t="n">
        <v>46292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33555-2023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45118</v>
      </c>
      <c r="E749" s="1" t="n">
        <v>46292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43820-2024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45571</v>
      </c>
      <c r="E750" s="1" t="n">
        <v>46292</v>
      </c>
      <c r="F750" t="inlineStr">
        <is>
          <t>BLEKINGE LÄN</t>
        </is>
      </c>
      <c r="G750" t="inlineStr">
        <is>
          <t>KARLSKRONA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45007</v>
      </c>
      <c r="E751" s="1" t="n">
        <v>46292</v>
      </c>
      <c r="F751" t="inlineStr">
        <is>
          <t>BLEKINGE LÄN</t>
        </is>
      </c>
      <c r="G751" t="inlineStr">
        <is>
          <t>KARLSKRONA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11676-2025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46292</v>
      </c>
      <c r="F752" t="inlineStr">
        <is>
          <t>BLEKINGE LÄN</t>
        </is>
      </c>
      <c r="G752" t="inlineStr">
        <is>
          <t>KARLSKRONA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3011-2024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45315</v>
      </c>
      <c r="E753" s="1" t="n">
        <v>46292</v>
      </c>
      <c r="F753" t="inlineStr">
        <is>
          <t>BLEKINGE LÄN</t>
        </is>
      </c>
      <c r="G753" t="inlineStr">
        <is>
          <t>KARLSKRONA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57982-2024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45631</v>
      </c>
      <c r="E754" s="1" t="n">
        <v>46292</v>
      </c>
      <c r="F754" t="inlineStr">
        <is>
          <t>BLEKINGE LÄN</t>
        </is>
      </c>
      <c r="G754" t="inlineStr">
        <is>
          <t>KARLSKRONA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58159-2023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45250</v>
      </c>
      <c r="E755" s="1" t="n">
        <v>46292</v>
      </c>
      <c r="F755" t="inlineStr">
        <is>
          <t>BLEKINGE LÄN</t>
        </is>
      </c>
      <c r="G755" t="inlineStr">
        <is>
          <t>KARLSKRONA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45698</v>
      </c>
      <c r="E756" s="1" t="n">
        <v>46292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45573-2023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45194</v>
      </c>
      <c r="E757" s="1" t="n">
        <v>46292</v>
      </c>
      <c r="F757" t="inlineStr">
        <is>
          <t>BLEKINGE LÄN</t>
        </is>
      </c>
      <c r="G757" t="inlineStr">
        <is>
          <t>KARLSKRONA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5885-2025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45695</v>
      </c>
      <c r="E758" s="1" t="n">
        <v>46292</v>
      </c>
      <c r="F758" t="inlineStr">
        <is>
          <t>BLEKINGE LÄN</t>
        </is>
      </c>
      <c r="G758" t="inlineStr">
        <is>
          <t>KARLSKRONA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46292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46292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46292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46292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46292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46292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46292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46292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46292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46292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46292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46292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46292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48975-2024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45594</v>
      </c>
      <c r="E772" s="1" t="n">
        <v>46292</v>
      </c>
      <c r="F772" t="inlineStr">
        <is>
          <t>BLEKINGE LÄN</t>
        </is>
      </c>
      <c r="G772" t="inlineStr">
        <is>
          <t>KARLSKRONA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45573</v>
      </c>
      <c r="E773" s="1" t="n">
        <v>46292</v>
      </c>
      <c r="F773" t="inlineStr">
        <is>
          <t>BLEKINGE LÄN</t>
        </is>
      </c>
      <c r="G773" t="inlineStr">
        <is>
          <t>KARLSKRONA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13535-2024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45387</v>
      </c>
      <c r="E774" s="1" t="n">
        <v>46292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21648-2025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46292</v>
      </c>
      <c r="F775" t="inlineStr">
        <is>
          <t>BLEKINGE LÄN</t>
        </is>
      </c>
      <c r="G775" t="inlineStr">
        <is>
          <t>KARLSKRONA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37415-2024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45540</v>
      </c>
      <c r="E776" s="1" t="n">
        <v>46292</v>
      </c>
      <c r="F776" t="inlineStr">
        <is>
          <t>BLEKINGE LÄN</t>
        </is>
      </c>
      <c r="G776" t="inlineStr">
        <is>
          <t>KARLSKRONA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12827-2024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45384</v>
      </c>
      <c r="E777" s="1" t="n">
        <v>46292</v>
      </c>
      <c r="F777" t="inlineStr">
        <is>
          <t>BLEKINGE LÄN</t>
        </is>
      </c>
      <c r="G777" t="inlineStr">
        <is>
          <t>KARLSKRONA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56340-2024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45624</v>
      </c>
      <c r="E778" s="1" t="n">
        <v>46292</v>
      </c>
      <c r="F778" t="inlineStr">
        <is>
          <t>BLEKINGE LÄN</t>
        </is>
      </c>
      <c r="G778" t="inlineStr">
        <is>
          <t>KARLSKRONA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46292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45631</v>
      </c>
      <c r="E780" s="1" t="n">
        <v>46292</v>
      </c>
      <c r="F780" t="inlineStr">
        <is>
          <t>BLEKINGE LÄN</t>
        </is>
      </c>
      <c r="G780" t="inlineStr">
        <is>
          <t>KARLSKRONA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46292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46292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23464-2024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45453</v>
      </c>
      <c r="E783" s="1" t="n">
        <v>46292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22262-2025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45785</v>
      </c>
      <c r="E784" s="1" t="n">
        <v>46292</v>
      </c>
      <c r="F784" t="inlineStr">
        <is>
          <t>BLEKINGE LÄN</t>
        </is>
      </c>
      <c r="G784" t="inlineStr">
        <is>
          <t>KARLSKRONA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62025-2024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45656</v>
      </c>
      <c r="E785" s="1" t="n">
        <v>46292</v>
      </c>
      <c r="F785" t="inlineStr">
        <is>
          <t>BLEKINGE LÄN</t>
        </is>
      </c>
      <c r="G785" t="inlineStr">
        <is>
          <t>KARLSKRONA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45674</v>
      </c>
      <c r="E786" s="1" t="n">
        <v>46292</v>
      </c>
      <c r="F786" t="inlineStr">
        <is>
          <t>BLEKINGE LÄN</t>
        </is>
      </c>
      <c r="G786" t="inlineStr">
        <is>
          <t>KARLSKRONA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60538-2021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44496</v>
      </c>
      <c r="E787" s="1" t="n">
        <v>46292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46292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46292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46292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46292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46292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46292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46292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46292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46292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46292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46292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46292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46292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46292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46292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46292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46292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46292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46292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46292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46292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46292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46292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46292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46292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2240-2026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46260</v>
      </c>
      <c r="E813" s="1" t="n">
        <v>46292</v>
      </c>
      <c r="F813" t="inlineStr">
        <is>
          <t>BLEKINGE LÄN</t>
        </is>
      </c>
      <c r="G813" t="inlineStr">
        <is>
          <t>KARLSKRONA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624-2023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44972</v>
      </c>
      <c r="E814" s="1" t="n">
        <v>46292</v>
      </c>
      <c r="F814" t="inlineStr">
        <is>
          <t>BLEKINGE LÄN</t>
        </is>
      </c>
      <c r="G814" t="inlineStr">
        <is>
          <t>KARLSKRONA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427-2023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44960</v>
      </c>
      <c r="E815" s="1" t="n">
        <v>46292</v>
      </c>
      <c r="F815" t="inlineStr">
        <is>
          <t>BLEKINGE LÄN</t>
        </is>
      </c>
      <c r="G815" t="inlineStr">
        <is>
          <t>KARLSKRONA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4166-2023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45250</v>
      </c>
      <c r="E816" s="1" t="n">
        <v>46292</v>
      </c>
      <c r="F816" t="inlineStr">
        <is>
          <t>BLEKINGE LÄN</t>
        </is>
      </c>
      <c r="G816" t="inlineStr">
        <is>
          <t>KARLSKRONA</t>
        </is>
      </c>
      <c r="I816" t="n">
        <v>19.9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763-2023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44981</v>
      </c>
      <c r="E817" s="1" t="n">
        <v>46292</v>
      </c>
      <c r="F817" t="inlineStr">
        <is>
          <t>BLEKINGE LÄN</t>
        </is>
      </c>
      <c r="G817" t="inlineStr">
        <is>
          <t>KARLSKRONA</t>
        </is>
      </c>
      <c r="I817" t="n">
        <v>30.4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46045</v>
      </c>
      <c r="E818" s="1" t="n">
        <v>46292</v>
      </c>
      <c r="F818" t="inlineStr">
        <is>
          <t>BLEKINGE LÄN</t>
        </is>
      </c>
      <c r="G818" t="inlineStr">
        <is>
          <t>KARLSKRONA</t>
        </is>
      </c>
      <c r="I818" t="n">
        <v>20.5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2026-09-27T02:01:03Z</dcterms:created>
  <dcterms:modified xmlns:dcterms="http://purl.org/dc/terms/" xmlns:xsi="http://www.w3.org/2001/XMLSchema-instance" xsi:type="dcterms:W3CDTF">2026-09-27T02:01:04Z</dcterms:modified>
</cp:coreProperties>
</file>