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909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45735-2025</t>
        </is>
      </c>
      <c r="B2" s="1" t="n">
        <v>45923</v>
      </c>
      <c r="C2" s="1" t="n">
        <v>46100</v>
      </c>
      <c r="D2" t="inlineStr">
        <is>
          <t>BLEKINGE LÄN</t>
        </is>
      </c>
      <c r="E2" t="inlineStr">
        <is>
          <t>KARLSKRONA</t>
        </is>
      </c>
      <c r="F2" t="inlineStr">
        <is>
          <t>Kommuner</t>
        </is>
      </c>
      <c r="G2" t="n">
        <v>15.1</v>
      </c>
      <c r="H2" t="n">
        <v>0</v>
      </c>
      <c r="I2" t="n">
        <v>4</v>
      </c>
      <c r="J2" t="n">
        <v>3</v>
      </c>
      <c r="K2" t="n">
        <v>1</v>
      </c>
      <c r="L2" t="n">
        <v>0</v>
      </c>
      <c r="M2" t="n">
        <v>0</v>
      </c>
      <c r="N2" t="n">
        <v>0</v>
      </c>
      <c r="O2" t="n">
        <v>4</v>
      </c>
      <c r="P2" t="n">
        <v>1</v>
      </c>
      <c r="Q2" t="n">
        <v>8</v>
      </c>
      <c r="R2" s="2" t="inlineStr">
        <is>
          <t>Skillerticka
Ekticka
Koralltaggsvamp
Stor sotdyna
Blåmossa
Hasselticka
Murgröna
Rutkremla</t>
        </is>
      </c>
      <c r="S2">
        <f>HYPERLINK("https://klasma.github.io/Logging_1080/artfynd/A 45735-2025 artfynd.xlsx", "A 45735-2025")</f>
        <v/>
      </c>
      <c r="T2">
        <f>HYPERLINK("https://klasma.github.io/Logging_1080/kartor/A 45735-2025 karta.png", "A 45735-2025")</f>
        <v/>
      </c>
      <c r="V2">
        <f>HYPERLINK("https://klasma.github.io/Logging_1080/klagomål/A 45735-2025 FSC-klagomål.docx", "A 45735-2025")</f>
        <v/>
      </c>
      <c r="W2">
        <f>HYPERLINK("https://klasma.github.io/Logging_1080/klagomålsmail/A 45735-2025 FSC-klagomål mail.docx", "A 45735-2025")</f>
        <v/>
      </c>
      <c r="X2">
        <f>HYPERLINK("https://klasma.github.io/Logging_1080/tillsyn/A 45735-2025 tillsynsbegäran.docx", "A 45735-2025")</f>
        <v/>
      </c>
      <c r="Y2">
        <f>HYPERLINK("https://klasma.github.io/Logging_1080/tillsynsmail/A 45735-2025 tillsynsbegäran mail.docx", "A 45735-2025")</f>
        <v/>
      </c>
    </row>
    <row r="3" ht="15" customHeight="1">
      <c r="A3" t="inlineStr">
        <is>
          <t>A 31117-2025</t>
        </is>
      </c>
      <c r="B3" s="1" t="n">
        <v>45832</v>
      </c>
      <c r="C3" s="1" t="n">
        <v>46100</v>
      </c>
      <c r="D3" t="inlineStr">
        <is>
          <t>BLEKINGE LÄN</t>
        </is>
      </c>
      <c r="E3" t="inlineStr">
        <is>
          <t>KARLSKRONA</t>
        </is>
      </c>
      <c r="G3" t="n">
        <v>2</v>
      </c>
      <c r="H3" t="n">
        <v>6</v>
      </c>
      <c r="I3" t="n">
        <v>0</v>
      </c>
      <c r="J3" t="n">
        <v>2</v>
      </c>
      <c r="K3" t="n">
        <v>1</v>
      </c>
      <c r="L3" t="n">
        <v>0</v>
      </c>
      <c r="M3" t="n">
        <v>0</v>
      </c>
      <c r="N3" t="n">
        <v>0</v>
      </c>
      <c r="O3" t="n">
        <v>3</v>
      </c>
      <c r="P3" t="n">
        <v>1</v>
      </c>
      <c r="Q3" t="n">
        <v>6</v>
      </c>
      <c r="R3" s="2" t="inlineStr">
        <is>
          <t>Sydpipistrell
Barbastell
Nordfladdermus
Dvärgpipistrell
Större brunfladdermus
Trollpipistrell</t>
        </is>
      </c>
      <c r="S3">
        <f>HYPERLINK("https://klasma.github.io/Logging_1080/artfynd/A 31117-2025 artfynd.xlsx", "A 31117-2025")</f>
        <v/>
      </c>
      <c r="T3">
        <f>HYPERLINK("https://klasma.github.io/Logging_1080/kartor/A 31117-2025 karta.png", "A 31117-2025")</f>
        <v/>
      </c>
      <c r="V3">
        <f>HYPERLINK("https://klasma.github.io/Logging_1080/klagomål/A 31117-2025 FSC-klagomål.docx", "A 31117-2025")</f>
        <v/>
      </c>
      <c r="W3">
        <f>HYPERLINK("https://klasma.github.io/Logging_1080/klagomålsmail/A 31117-2025 FSC-klagomål mail.docx", "A 31117-2025")</f>
        <v/>
      </c>
      <c r="X3">
        <f>HYPERLINK("https://klasma.github.io/Logging_1080/tillsyn/A 31117-2025 tillsynsbegäran.docx", "A 31117-2025")</f>
        <v/>
      </c>
      <c r="Y3">
        <f>HYPERLINK("https://klasma.github.io/Logging_1080/tillsynsmail/A 31117-2025 tillsynsbegäran mail.docx", "A 31117-2025")</f>
        <v/>
      </c>
    </row>
    <row r="4" ht="15" customHeight="1">
      <c r="A4" t="inlineStr">
        <is>
          <t>A 61157-2025</t>
        </is>
      </c>
      <c r="B4" s="1" t="n">
        <v>45999</v>
      </c>
      <c r="C4" s="1" t="n">
        <v>46100</v>
      </c>
      <c r="D4" t="inlineStr">
        <is>
          <t>BLEKINGE LÄN</t>
        </is>
      </c>
      <c r="E4" t="inlineStr">
        <is>
          <t>KARLSKRONA</t>
        </is>
      </c>
      <c r="G4" t="n">
        <v>3.1</v>
      </c>
      <c r="H4" t="n">
        <v>4</v>
      </c>
      <c r="I4" t="n">
        <v>0</v>
      </c>
      <c r="J4" t="n">
        <v>3</v>
      </c>
      <c r="K4" t="n">
        <v>0</v>
      </c>
      <c r="L4" t="n">
        <v>1</v>
      </c>
      <c r="M4" t="n">
        <v>0</v>
      </c>
      <c r="N4" t="n">
        <v>0</v>
      </c>
      <c r="O4" t="n">
        <v>4</v>
      </c>
      <c r="P4" t="n">
        <v>1</v>
      </c>
      <c r="Q4" t="n">
        <v>5</v>
      </c>
      <c r="R4" s="2" t="inlineStr">
        <is>
          <t>Grusnejlika
Grönsångare
Gulsparv
Kråka
Kopparödla</t>
        </is>
      </c>
      <c r="S4">
        <f>HYPERLINK("https://klasma.github.io/Logging_1080/artfynd/A 61157-2025 artfynd.xlsx", "A 61157-2025")</f>
        <v/>
      </c>
      <c r="T4">
        <f>HYPERLINK("https://klasma.github.io/Logging_1080/kartor/A 61157-2025 karta.png", "A 61157-2025")</f>
        <v/>
      </c>
      <c r="V4">
        <f>HYPERLINK("https://klasma.github.io/Logging_1080/klagomål/A 61157-2025 FSC-klagomål.docx", "A 61157-2025")</f>
        <v/>
      </c>
      <c r="W4">
        <f>HYPERLINK("https://klasma.github.io/Logging_1080/klagomålsmail/A 61157-2025 FSC-klagomål mail.docx", "A 61157-2025")</f>
        <v/>
      </c>
      <c r="X4">
        <f>HYPERLINK("https://klasma.github.io/Logging_1080/tillsyn/A 61157-2025 tillsynsbegäran.docx", "A 61157-2025")</f>
        <v/>
      </c>
      <c r="Y4">
        <f>HYPERLINK("https://klasma.github.io/Logging_1080/tillsynsmail/A 61157-2025 tillsynsbegäran mail.docx", "A 61157-2025")</f>
        <v/>
      </c>
      <c r="Z4">
        <f>HYPERLINK("https://klasma.github.io/Logging_1080/fåglar/A 61157-2025 prioriterade fågelarter.docx", "A 61157-2025")</f>
        <v/>
      </c>
    </row>
    <row r="5" ht="15" customHeight="1">
      <c r="A5" t="inlineStr">
        <is>
          <t>A 43609-2025</t>
        </is>
      </c>
      <c r="B5" s="1" t="n">
        <v>45911</v>
      </c>
      <c r="C5" s="1" t="n">
        <v>46100</v>
      </c>
      <c r="D5" t="inlineStr">
        <is>
          <t>BLEKINGE LÄN</t>
        </is>
      </c>
      <c r="E5" t="inlineStr">
        <is>
          <t>KARLSKRONA</t>
        </is>
      </c>
      <c r="G5" t="n">
        <v>10</v>
      </c>
      <c r="H5" t="n">
        <v>0</v>
      </c>
      <c r="I5" t="n">
        <v>2</v>
      </c>
      <c r="J5" t="n">
        <v>3</v>
      </c>
      <c r="K5" t="n">
        <v>0</v>
      </c>
      <c r="L5" t="n">
        <v>0</v>
      </c>
      <c r="M5" t="n">
        <v>0</v>
      </c>
      <c r="N5" t="n">
        <v>0</v>
      </c>
      <c r="O5" t="n">
        <v>3</v>
      </c>
      <c r="P5" t="n">
        <v>0</v>
      </c>
      <c r="Q5" t="n">
        <v>5</v>
      </c>
      <c r="R5" s="2" t="inlineStr">
        <is>
          <t>Gammelekslav
Liten sönderfallslav
Rosa skärelav
Grå skärelav
Rostfläck</t>
        </is>
      </c>
      <c r="S5">
        <f>HYPERLINK("https://klasma.github.io/Logging_1080/artfynd/A 43609-2025 artfynd.xlsx", "A 43609-2025")</f>
        <v/>
      </c>
      <c r="T5">
        <f>HYPERLINK("https://klasma.github.io/Logging_1080/kartor/A 43609-2025 karta.png", "A 43609-2025")</f>
        <v/>
      </c>
      <c r="V5">
        <f>HYPERLINK("https://klasma.github.io/Logging_1080/klagomål/A 43609-2025 FSC-klagomål.docx", "A 43609-2025")</f>
        <v/>
      </c>
      <c r="W5">
        <f>HYPERLINK("https://klasma.github.io/Logging_1080/klagomålsmail/A 43609-2025 FSC-klagomål mail.docx", "A 43609-2025")</f>
        <v/>
      </c>
      <c r="X5">
        <f>HYPERLINK("https://klasma.github.io/Logging_1080/tillsyn/A 43609-2025 tillsynsbegäran.docx", "A 43609-2025")</f>
        <v/>
      </c>
      <c r="Y5">
        <f>HYPERLINK("https://klasma.github.io/Logging_1080/tillsynsmail/A 43609-2025 tillsynsbegäran mail.docx", "A 43609-2025")</f>
        <v/>
      </c>
    </row>
    <row r="6" ht="15" customHeight="1">
      <c r="A6" t="inlineStr">
        <is>
          <t>A 61166-2025</t>
        </is>
      </c>
      <c r="B6" s="1" t="n">
        <v>45999</v>
      </c>
      <c r="C6" s="1" t="n">
        <v>46100</v>
      </c>
      <c r="D6" t="inlineStr">
        <is>
          <t>BLEKINGE LÄN</t>
        </is>
      </c>
      <c r="E6" t="inlineStr">
        <is>
          <t>KARLSKRONA</t>
        </is>
      </c>
      <c r="G6" t="n">
        <v>3.3</v>
      </c>
      <c r="H6" t="n">
        <v>4</v>
      </c>
      <c r="I6" t="n">
        <v>0</v>
      </c>
      <c r="J6" t="n">
        <v>3</v>
      </c>
      <c r="K6" t="n">
        <v>1</v>
      </c>
      <c r="L6" t="n">
        <v>0</v>
      </c>
      <c r="M6" t="n">
        <v>0</v>
      </c>
      <c r="N6" t="n">
        <v>0</v>
      </c>
      <c r="O6" t="n">
        <v>4</v>
      </c>
      <c r="P6" t="n">
        <v>1</v>
      </c>
      <c r="Q6" t="n">
        <v>4</v>
      </c>
      <c r="R6" s="2" t="inlineStr">
        <is>
          <t>Sandödla
Grönsångare
Kråka
Ärtsångare</t>
        </is>
      </c>
      <c r="S6">
        <f>HYPERLINK("https://klasma.github.io/Logging_1080/artfynd/A 61166-2025 artfynd.xlsx", "A 61166-2025")</f>
        <v/>
      </c>
      <c r="T6">
        <f>HYPERLINK("https://klasma.github.io/Logging_1080/kartor/A 61166-2025 karta.png", "A 61166-2025")</f>
        <v/>
      </c>
      <c r="V6">
        <f>HYPERLINK("https://klasma.github.io/Logging_1080/klagomål/A 61166-2025 FSC-klagomål.docx", "A 61166-2025")</f>
        <v/>
      </c>
      <c r="W6">
        <f>HYPERLINK("https://klasma.github.io/Logging_1080/klagomålsmail/A 61166-2025 FSC-klagomål mail.docx", "A 61166-2025")</f>
        <v/>
      </c>
      <c r="X6">
        <f>HYPERLINK("https://klasma.github.io/Logging_1080/tillsyn/A 61166-2025 tillsynsbegäran.docx", "A 61166-2025")</f>
        <v/>
      </c>
      <c r="Y6">
        <f>HYPERLINK("https://klasma.github.io/Logging_1080/tillsynsmail/A 61166-2025 tillsynsbegäran mail.docx", "A 61166-2025")</f>
        <v/>
      </c>
      <c r="Z6">
        <f>HYPERLINK("https://klasma.github.io/Logging_1080/fåglar/A 61166-2025 prioriterade fågelarter.docx", "A 61166-2025")</f>
        <v/>
      </c>
    </row>
    <row r="7" ht="15" customHeight="1">
      <c r="A7" t="inlineStr">
        <is>
          <t>A 63862-2021</t>
        </is>
      </c>
      <c r="B7" s="1" t="n">
        <v>44509</v>
      </c>
      <c r="C7" s="1" t="n">
        <v>46100</v>
      </c>
      <c r="D7" t="inlineStr">
        <is>
          <t>BLEKINGE LÄN</t>
        </is>
      </c>
      <c r="E7" t="inlineStr">
        <is>
          <t>KARLSKRONA</t>
        </is>
      </c>
      <c r="G7" t="n">
        <v>1.8</v>
      </c>
      <c r="H7" t="n">
        <v>3</v>
      </c>
      <c r="I7" t="n">
        <v>0</v>
      </c>
      <c r="J7" t="n">
        <v>1</v>
      </c>
      <c r="K7" t="n">
        <v>0</v>
      </c>
      <c r="L7" t="n">
        <v>0</v>
      </c>
      <c r="M7" t="n">
        <v>0</v>
      </c>
      <c r="N7" t="n">
        <v>0</v>
      </c>
      <c r="O7" t="n">
        <v>1</v>
      </c>
      <c r="P7" t="n">
        <v>0</v>
      </c>
      <c r="Q7" t="n">
        <v>3</v>
      </c>
      <c r="R7" s="2" t="inlineStr">
        <is>
          <t>Långbensgroda
Åkergroda
Vanlig padda</t>
        </is>
      </c>
      <c r="S7">
        <f>HYPERLINK("https://klasma.github.io/Logging_1080/artfynd/A 63862-2021 artfynd.xlsx", "A 63862-2021")</f>
        <v/>
      </c>
      <c r="T7">
        <f>HYPERLINK("https://klasma.github.io/Logging_1080/kartor/A 63862-2021 karta.png", "A 63862-2021")</f>
        <v/>
      </c>
      <c r="V7">
        <f>HYPERLINK("https://klasma.github.io/Logging_1080/klagomål/A 63862-2021 FSC-klagomål.docx", "A 63862-2021")</f>
        <v/>
      </c>
      <c r="W7">
        <f>HYPERLINK("https://klasma.github.io/Logging_1080/klagomålsmail/A 63862-2021 FSC-klagomål mail.docx", "A 63862-2021")</f>
        <v/>
      </c>
      <c r="X7">
        <f>HYPERLINK("https://klasma.github.io/Logging_1080/tillsyn/A 63862-2021 tillsynsbegäran.docx", "A 63862-2021")</f>
        <v/>
      </c>
      <c r="Y7">
        <f>HYPERLINK("https://klasma.github.io/Logging_1080/tillsynsmail/A 63862-2021 tillsynsbegäran mail.docx", "A 63862-2021")</f>
        <v/>
      </c>
    </row>
    <row r="8" ht="15" customHeight="1">
      <c r="A8" t="inlineStr">
        <is>
          <t>A 5556-2023</t>
        </is>
      </c>
      <c r="B8" s="1" t="n">
        <v>44960</v>
      </c>
      <c r="C8" s="1" t="n">
        <v>46100</v>
      </c>
      <c r="D8" t="inlineStr">
        <is>
          <t>BLEKINGE LÄN</t>
        </is>
      </c>
      <c r="E8" t="inlineStr">
        <is>
          <t>KARLSKRONA</t>
        </is>
      </c>
      <c r="G8" t="n">
        <v>2</v>
      </c>
      <c r="H8" t="n">
        <v>1</v>
      </c>
      <c r="I8" t="n">
        <v>1</v>
      </c>
      <c r="J8" t="n">
        <v>2</v>
      </c>
      <c r="K8" t="n">
        <v>0</v>
      </c>
      <c r="L8" t="n">
        <v>0</v>
      </c>
      <c r="M8" t="n">
        <v>0</v>
      </c>
      <c r="N8" t="n">
        <v>0</v>
      </c>
      <c r="O8" t="n">
        <v>2</v>
      </c>
      <c r="P8" t="n">
        <v>0</v>
      </c>
      <c r="Q8" t="n">
        <v>3</v>
      </c>
      <c r="R8" s="2" t="inlineStr">
        <is>
          <t>Långbensgroda
Rödlånke
Blåmossa</t>
        </is>
      </c>
      <c r="S8">
        <f>HYPERLINK("https://klasma.github.io/Logging_1080/artfynd/A 5556-2023 artfynd.xlsx", "A 5556-2023")</f>
        <v/>
      </c>
      <c r="T8">
        <f>HYPERLINK("https://klasma.github.io/Logging_1080/kartor/A 5556-2023 karta.png", "A 5556-2023")</f>
        <v/>
      </c>
      <c r="V8">
        <f>HYPERLINK("https://klasma.github.io/Logging_1080/klagomål/A 5556-2023 FSC-klagomål.docx", "A 5556-2023")</f>
        <v/>
      </c>
      <c r="W8">
        <f>HYPERLINK("https://klasma.github.io/Logging_1080/klagomålsmail/A 5556-2023 FSC-klagomål mail.docx", "A 5556-2023")</f>
        <v/>
      </c>
      <c r="X8">
        <f>HYPERLINK("https://klasma.github.io/Logging_1080/tillsyn/A 5556-2023 tillsynsbegäran.docx", "A 5556-2023")</f>
        <v/>
      </c>
      <c r="Y8">
        <f>HYPERLINK("https://klasma.github.io/Logging_1080/tillsynsmail/A 5556-2023 tillsynsbegäran mail.docx", "A 5556-2023")</f>
        <v/>
      </c>
    </row>
    <row r="9" ht="15" customHeight="1">
      <c r="A9" t="inlineStr">
        <is>
          <t>A 45017-2025</t>
        </is>
      </c>
      <c r="B9" s="1" t="n">
        <v>45918</v>
      </c>
      <c r="C9" s="1" t="n">
        <v>46100</v>
      </c>
      <c r="D9" t="inlineStr">
        <is>
          <t>BLEKINGE LÄN</t>
        </is>
      </c>
      <c r="E9" t="inlineStr">
        <is>
          <t>KARLSKRONA</t>
        </is>
      </c>
      <c r="G9" t="n">
        <v>3.7</v>
      </c>
      <c r="H9" t="n">
        <v>2</v>
      </c>
      <c r="I9" t="n">
        <v>0</v>
      </c>
      <c r="J9" t="n">
        <v>1</v>
      </c>
      <c r="K9" t="n">
        <v>0</v>
      </c>
      <c r="L9" t="n">
        <v>0</v>
      </c>
      <c r="M9" t="n">
        <v>0</v>
      </c>
      <c r="N9" t="n">
        <v>0</v>
      </c>
      <c r="O9" t="n">
        <v>1</v>
      </c>
      <c r="P9" t="n">
        <v>0</v>
      </c>
      <c r="Q9" t="n">
        <v>3</v>
      </c>
      <c r="R9" s="2" t="inlineStr">
        <is>
          <t>Solvända
Större vattensalamander
Fläcknycklar</t>
        </is>
      </c>
      <c r="S9">
        <f>HYPERLINK("https://klasma.github.io/Logging_1080/artfynd/A 45017-2025 artfynd.xlsx", "A 45017-2025")</f>
        <v/>
      </c>
      <c r="T9">
        <f>HYPERLINK("https://klasma.github.io/Logging_1080/kartor/A 45017-2025 karta.png", "A 45017-2025")</f>
        <v/>
      </c>
      <c r="V9">
        <f>HYPERLINK("https://klasma.github.io/Logging_1080/klagomål/A 45017-2025 FSC-klagomål.docx", "A 45017-2025")</f>
        <v/>
      </c>
      <c r="W9">
        <f>HYPERLINK("https://klasma.github.io/Logging_1080/klagomålsmail/A 45017-2025 FSC-klagomål mail.docx", "A 45017-2025")</f>
        <v/>
      </c>
      <c r="X9">
        <f>HYPERLINK("https://klasma.github.io/Logging_1080/tillsyn/A 45017-2025 tillsynsbegäran.docx", "A 45017-2025")</f>
        <v/>
      </c>
      <c r="Y9">
        <f>HYPERLINK("https://klasma.github.io/Logging_1080/tillsynsmail/A 45017-2025 tillsynsbegäran mail.docx", "A 45017-2025")</f>
        <v/>
      </c>
    </row>
    <row r="10" ht="15" customHeight="1">
      <c r="A10" t="inlineStr">
        <is>
          <t>A 42540-2025</t>
        </is>
      </c>
      <c r="B10" s="1" t="n">
        <v>45905</v>
      </c>
      <c r="C10" s="1" t="n">
        <v>46100</v>
      </c>
      <c r="D10" t="inlineStr">
        <is>
          <t>BLEKINGE LÄN</t>
        </is>
      </c>
      <c r="E10" t="inlineStr">
        <is>
          <t>KARLSKRONA</t>
        </is>
      </c>
      <c r="F10" t="inlineStr">
        <is>
          <t>Kommuner</t>
        </is>
      </c>
      <c r="G10" t="n">
        <v>2.9</v>
      </c>
      <c r="H10" t="n">
        <v>1</v>
      </c>
      <c r="I10" t="n">
        <v>2</v>
      </c>
      <c r="J10" t="n">
        <v>1</v>
      </c>
      <c r="K10" t="n">
        <v>0</v>
      </c>
      <c r="L10" t="n">
        <v>0</v>
      </c>
      <c r="M10" t="n">
        <v>0</v>
      </c>
      <c r="N10" t="n">
        <v>0</v>
      </c>
      <c r="O10" t="n">
        <v>1</v>
      </c>
      <c r="P10" t="n">
        <v>0</v>
      </c>
      <c r="Q10" t="n">
        <v>3</v>
      </c>
      <c r="R10" s="2" t="inlineStr">
        <is>
          <t>Igelkott
Ekoxe
Fjällig jordtunga</t>
        </is>
      </c>
      <c r="S10">
        <f>HYPERLINK("https://klasma.github.io/Logging_1080/artfynd/A 42540-2025 artfynd.xlsx", "A 42540-2025")</f>
        <v/>
      </c>
      <c r="T10">
        <f>HYPERLINK("https://klasma.github.io/Logging_1080/kartor/A 42540-2025 karta.png", "A 42540-2025")</f>
        <v/>
      </c>
      <c r="V10">
        <f>HYPERLINK("https://klasma.github.io/Logging_1080/klagomål/A 42540-2025 FSC-klagomål.docx", "A 42540-2025")</f>
        <v/>
      </c>
      <c r="W10">
        <f>HYPERLINK("https://klasma.github.io/Logging_1080/klagomålsmail/A 42540-2025 FSC-klagomål mail.docx", "A 42540-2025")</f>
        <v/>
      </c>
      <c r="X10">
        <f>HYPERLINK("https://klasma.github.io/Logging_1080/tillsyn/A 42540-2025 tillsynsbegäran.docx", "A 42540-2025")</f>
        <v/>
      </c>
      <c r="Y10">
        <f>HYPERLINK("https://klasma.github.io/Logging_1080/tillsynsmail/A 42540-2025 tillsynsbegäran mail.docx", "A 42540-2025")</f>
        <v/>
      </c>
    </row>
    <row r="11" ht="15" customHeight="1">
      <c r="A11" t="inlineStr">
        <is>
          <t>A 17849-2023</t>
        </is>
      </c>
      <c r="B11" s="1" t="n">
        <v>45037</v>
      </c>
      <c r="C11" s="1" t="n">
        <v>46100</v>
      </c>
      <c r="D11" t="inlineStr">
        <is>
          <t>BLEKINGE LÄN</t>
        </is>
      </c>
      <c r="E11" t="inlineStr">
        <is>
          <t>KARLSKRONA</t>
        </is>
      </c>
      <c r="F11" t="inlineStr">
        <is>
          <t>Kommuner</t>
        </is>
      </c>
      <c r="G11" t="n">
        <v>10</v>
      </c>
      <c r="H11" t="n">
        <v>0</v>
      </c>
      <c r="I11" t="n">
        <v>1</v>
      </c>
      <c r="J11" t="n">
        <v>1</v>
      </c>
      <c r="K11" t="n">
        <v>0</v>
      </c>
      <c r="L11" t="n">
        <v>0</v>
      </c>
      <c r="M11" t="n">
        <v>0</v>
      </c>
      <c r="N11" t="n">
        <v>0</v>
      </c>
      <c r="O11" t="n">
        <v>1</v>
      </c>
      <c r="P11" t="n">
        <v>0</v>
      </c>
      <c r="Q11" t="n">
        <v>2</v>
      </c>
      <c r="R11" s="2" t="inlineStr">
        <is>
          <t>Igelkott
Vätteros</t>
        </is>
      </c>
      <c r="S11">
        <f>HYPERLINK("https://klasma.github.io/Logging_1080/artfynd/A 17849-2023 artfynd.xlsx", "A 17849-2023")</f>
        <v/>
      </c>
      <c r="T11">
        <f>HYPERLINK("https://klasma.github.io/Logging_1080/kartor/A 17849-2023 karta.png", "A 17849-2023")</f>
        <v/>
      </c>
      <c r="V11">
        <f>HYPERLINK("https://klasma.github.io/Logging_1080/klagomål/A 17849-2023 FSC-klagomål.docx", "A 17849-2023")</f>
        <v/>
      </c>
      <c r="W11">
        <f>HYPERLINK("https://klasma.github.io/Logging_1080/klagomålsmail/A 17849-2023 FSC-klagomål mail.docx", "A 17849-2023")</f>
        <v/>
      </c>
      <c r="X11">
        <f>HYPERLINK("https://klasma.github.io/Logging_1080/tillsyn/A 17849-2023 tillsynsbegäran.docx", "A 17849-2023")</f>
        <v/>
      </c>
      <c r="Y11">
        <f>HYPERLINK("https://klasma.github.io/Logging_1080/tillsynsmail/A 17849-2023 tillsynsbegäran mail.docx", "A 17849-2023")</f>
        <v/>
      </c>
    </row>
    <row r="12" ht="15" customHeight="1">
      <c r="A12" t="inlineStr">
        <is>
          <t>A 51085-2024</t>
        </is>
      </c>
      <c r="B12" s="1" t="n">
        <v>45603.46306712963</v>
      </c>
      <c r="C12" s="1" t="n">
        <v>46100</v>
      </c>
      <c r="D12" t="inlineStr">
        <is>
          <t>BLEKINGE LÄN</t>
        </is>
      </c>
      <c r="E12" t="inlineStr">
        <is>
          <t>KARLSKRONA</t>
        </is>
      </c>
      <c r="G12" t="n">
        <v>5.4</v>
      </c>
      <c r="H12" t="n">
        <v>2</v>
      </c>
      <c r="I12" t="n">
        <v>0</v>
      </c>
      <c r="J12" t="n">
        <v>1</v>
      </c>
      <c r="K12" t="n">
        <v>0</v>
      </c>
      <c r="L12" t="n">
        <v>0</v>
      </c>
      <c r="M12" t="n">
        <v>0</v>
      </c>
      <c r="N12" t="n">
        <v>0</v>
      </c>
      <c r="O12" t="n">
        <v>1</v>
      </c>
      <c r="P12" t="n">
        <v>0</v>
      </c>
      <c r="Q12" t="n">
        <v>2</v>
      </c>
      <c r="R12" s="2" t="inlineStr">
        <is>
          <t>Långbensgroda
Åkergroda</t>
        </is>
      </c>
      <c r="S12">
        <f>HYPERLINK("https://klasma.github.io/Logging_1080/artfynd/A 51085-2024 artfynd.xlsx", "A 51085-2024")</f>
        <v/>
      </c>
      <c r="T12">
        <f>HYPERLINK("https://klasma.github.io/Logging_1080/kartor/A 51085-2024 karta.png", "A 51085-2024")</f>
        <v/>
      </c>
      <c r="V12">
        <f>HYPERLINK("https://klasma.github.io/Logging_1080/klagomål/A 51085-2024 FSC-klagomål.docx", "A 51085-2024")</f>
        <v/>
      </c>
      <c r="W12">
        <f>HYPERLINK("https://klasma.github.io/Logging_1080/klagomålsmail/A 51085-2024 FSC-klagomål mail.docx", "A 51085-2024")</f>
        <v/>
      </c>
      <c r="X12">
        <f>HYPERLINK("https://klasma.github.io/Logging_1080/tillsyn/A 51085-2024 tillsynsbegäran.docx", "A 51085-2024")</f>
        <v/>
      </c>
      <c r="Y12">
        <f>HYPERLINK("https://klasma.github.io/Logging_1080/tillsynsmail/A 51085-2024 tillsynsbegäran mail.docx", "A 51085-2024")</f>
        <v/>
      </c>
    </row>
    <row r="13" ht="15" customHeight="1">
      <c r="A13" t="inlineStr">
        <is>
          <t>A 46067-2025</t>
        </is>
      </c>
      <c r="B13" s="1" t="n">
        <v>45924.48732638889</v>
      </c>
      <c r="C13" s="1" t="n">
        <v>46100</v>
      </c>
      <c r="D13" t="inlineStr">
        <is>
          <t>BLEKINGE LÄN</t>
        </is>
      </c>
      <c r="E13" t="inlineStr">
        <is>
          <t>KARLSKRONA</t>
        </is>
      </c>
      <c r="G13" t="n">
        <v>5.4</v>
      </c>
      <c r="H13" t="n">
        <v>0</v>
      </c>
      <c r="I13" t="n">
        <v>2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2</v>
      </c>
      <c r="R13" s="2" t="inlineStr">
        <is>
          <t>Kornknutmossa
Stubbspretmossa</t>
        </is>
      </c>
      <c r="S13">
        <f>HYPERLINK("https://klasma.github.io/Logging_1080/artfynd/A 46067-2025 artfynd.xlsx", "A 46067-2025")</f>
        <v/>
      </c>
      <c r="T13">
        <f>HYPERLINK("https://klasma.github.io/Logging_1080/kartor/A 46067-2025 karta.png", "A 46067-2025")</f>
        <v/>
      </c>
      <c r="V13">
        <f>HYPERLINK("https://klasma.github.io/Logging_1080/klagomål/A 46067-2025 FSC-klagomål.docx", "A 46067-2025")</f>
        <v/>
      </c>
      <c r="W13">
        <f>HYPERLINK("https://klasma.github.io/Logging_1080/klagomålsmail/A 46067-2025 FSC-klagomål mail.docx", "A 46067-2025")</f>
        <v/>
      </c>
      <c r="X13">
        <f>HYPERLINK("https://klasma.github.io/Logging_1080/tillsyn/A 46067-2025 tillsynsbegäran.docx", "A 46067-2025")</f>
        <v/>
      </c>
      <c r="Y13">
        <f>HYPERLINK("https://klasma.github.io/Logging_1080/tillsynsmail/A 46067-2025 tillsynsbegäran mail.docx", "A 46067-2025")</f>
        <v/>
      </c>
    </row>
    <row r="14" ht="15" customHeight="1">
      <c r="A14" t="inlineStr">
        <is>
          <t>A 29994-2025</t>
        </is>
      </c>
      <c r="B14" s="1" t="n">
        <v>45826.50638888889</v>
      </c>
      <c r="C14" s="1" t="n">
        <v>46100</v>
      </c>
      <c r="D14" t="inlineStr">
        <is>
          <t>BLEKINGE LÄN</t>
        </is>
      </c>
      <c r="E14" t="inlineStr">
        <is>
          <t>KARLSKRONA</t>
        </is>
      </c>
      <c r="G14" t="n">
        <v>2.4</v>
      </c>
      <c r="H14" t="n">
        <v>0</v>
      </c>
      <c r="I14" t="n">
        <v>0</v>
      </c>
      <c r="J14" t="n">
        <v>1</v>
      </c>
      <c r="K14" t="n">
        <v>1</v>
      </c>
      <c r="L14" t="n">
        <v>0</v>
      </c>
      <c r="M14" t="n">
        <v>0</v>
      </c>
      <c r="N14" t="n">
        <v>0</v>
      </c>
      <c r="O14" t="n">
        <v>2</v>
      </c>
      <c r="P14" t="n">
        <v>1</v>
      </c>
      <c r="Q14" t="n">
        <v>2</v>
      </c>
      <c r="R14" s="2" t="inlineStr">
        <is>
          <t>Slåttergubbe
Solvända</t>
        </is>
      </c>
      <c r="S14">
        <f>HYPERLINK("https://klasma.github.io/Logging_1080/artfynd/A 29994-2025 artfynd.xlsx", "A 29994-2025")</f>
        <v/>
      </c>
      <c r="T14">
        <f>HYPERLINK("https://klasma.github.io/Logging_1080/kartor/A 29994-2025 karta.png", "A 29994-2025")</f>
        <v/>
      </c>
      <c r="V14">
        <f>HYPERLINK("https://klasma.github.io/Logging_1080/klagomål/A 29994-2025 FSC-klagomål.docx", "A 29994-2025")</f>
        <v/>
      </c>
      <c r="W14">
        <f>HYPERLINK("https://klasma.github.io/Logging_1080/klagomålsmail/A 29994-2025 FSC-klagomål mail.docx", "A 29994-2025")</f>
        <v/>
      </c>
      <c r="X14">
        <f>HYPERLINK("https://klasma.github.io/Logging_1080/tillsyn/A 29994-2025 tillsynsbegäran.docx", "A 29994-2025")</f>
        <v/>
      </c>
      <c r="Y14">
        <f>HYPERLINK("https://klasma.github.io/Logging_1080/tillsynsmail/A 29994-2025 tillsynsbegäran mail.docx", "A 29994-2025")</f>
        <v/>
      </c>
    </row>
    <row r="15" ht="15" customHeight="1">
      <c r="A15" t="inlineStr">
        <is>
          <t>A 41421-2025</t>
        </is>
      </c>
      <c r="B15" s="1" t="n">
        <v>45901</v>
      </c>
      <c r="C15" s="1" t="n">
        <v>46100</v>
      </c>
      <c r="D15" t="inlineStr">
        <is>
          <t>BLEKINGE LÄN</t>
        </is>
      </c>
      <c r="E15" t="inlineStr">
        <is>
          <t>KARLSKRONA</t>
        </is>
      </c>
      <c r="F15" t="inlineStr">
        <is>
          <t>Kommuner</t>
        </is>
      </c>
      <c r="G15" t="n">
        <v>4.2</v>
      </c>
      <c r="H15" t="n">
        <v>1</v>
      </c>
      <c r="I15" t="n">
        <v>1</v>
      </c>
      <c r="J15" t="n">
        <v>1</v>
      </c>
      <c r="K15" t="n">
        <v>0</v>
      </c>
      <c r="L15" t="n">
        <v>0</v>
      </c>
      <c r="M15" t="n">
        <v>0</v>
      </c>
      <c r="N15" t="n">
        <v>0</v>
      </c>
      <c r="O15" t="n">
        <v>1</v>
      </c>
      <c r="P15" t="n">
        <v>0</v>
      </c>
      <c r="Q15" t="n">
        <v>2</v>
      </c>
      <c r="R15" s="2" t="inlineStr">
        <is>
          <t>Sydlig sotticka
Ekoxe</t>
        </is>
      </c>
      <c r="S15">
        <f>HYPERLINK("https://klasma.github.io/Logging_1080/artfynd/A 41421-2025 artfynd.xlsx", "A 41421-2025")</f>
        <v/>
      </c>
      <c r="T15">
        <f>HYPERLINK("https://klasma.github.io/Logging_1080/kartor/A 41421-2025 karta.png", "A 41421-2025")</f>
        <v/>
      </c>
      <c r="V15">
        <f>HYPERLINK("https://klasma.github.io/Logging_1080/klagomål/A 41421-2025 FSC-klagomål.docx", "A 41421-2025")</f>
        <v/>
      </c>
      <c r="W15">
        <f>HYPERLINK("https://klasma.github.io/Logging_1080/klagomålsmail/A 41421-2025 FSC-klagomål mail.docx", "A 41421-2025")</f>
        <v/>
      </c>
      <c r="X15">
        <f>HYPERLINK("https://klasma.github.io/Logging_1080/tillsyn/A 41421-2025 tillsynsbegäran.docx", "A 41421-2025")</f>
        <v/>
      </c>
      <c r="Y15">
        <f>HYPERLINK("https://klasma.github.io/Logging_1080/tillsynsmail/A 41421-2025 tillsynsbegäran mail.docx", "A 41421-2025")</f>
        <v/>
      </c>
    </row>
    <row r="16" ht="15" customHeight="1">
      <c r="A16" t="inlineStr">
        <is>
          <t>A 52837-2021</t>
        </is>
      </c>
      <c r="B16" s="1" t="n">
        <v>44467</v>
      </c>
      <c r="C16" s="1" t="n">
        <v>46100</v>
      </c>
      <c r="D16" t="inlineStr">
        <is>
          <t>BLEKINGE LÄN</t>
        </is>
      </c>
      <c r="E16" t="inlineStr">
        <is>
          <t>KARLSKRONA</t>
        </is>
      </c>
      <c r="G16" t="n">
        <v>1.6</v>
      </c>
      <c r="H16" t="n">
        <v>1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1</v>
      </c>
      <c r="R16" s="2" t="inlineStr">
        <is>
          <t>Vanlig groda</t>
        </is>
      </c>
      <c r="S16">
        <f>HYPERLINK("https://klasma.github.io/Logging_1080/artfynd/A 52837-2021 artfynd.xlsx", "A 52837-2021")</f>
        <v/>
      </c>
      <c r="T16">
        <f>HYPERLINK("https://klasma.github.io/Logging_1080/kartor/A 52837-2021 karta.png", "A 52837-2021")</f>
        <v/>
      </c>
      <c r="V16">
        <f>HYPERLINK("https://klasma.github.io/Logging_1080/klagomål/A 52837-2021 FSC-klagomål.docx", "A 52837-2021")</f>
        <v/>
      </c>
      <c r="W16">
        <f>HYPERLINK("https://klasma.github.io/Logging_1080/klagomålsmail/A 52837-2021 FSC-klagomål mail.docx", "A 52837-2021")</f>
        <v/>
      </c>
      <c r="X16">
        <f>HYPERLINK("https://klasma.github.io/Logging_1080/tillsyn/A 52837-2021 tillsynsbegäran.docx", "A 52837-2021")</f>
        <v/>
      </c>
      <c r="Y16">
        <f>HYPERLINK("https://klasma.github.io/Logging_1080/tillsynsmail/A 52837-2021 tillsynsbegäran mail.docx", "A 52837-2021")</f>
        <v/>
      </c>
    </row>
    <row r="17" ht="15" customHeight="1">
      <c r="A17" t="inlineStr">
        <is>
          <t>A 69282-2021</t>
        </is>
      </c>
      <c r="B17" s="1" t="n">
        <v>44531</v>
      </c>
      <c r="C17" s="1" t="n">
        <v>46100</v>
      </c>
      <c r="D17" t="inlineStr">
        <is>
          <t>BLEKINGE LÄN</t>
        </is>
      </c>
      <c r="E17" t="inlineStr">
        <is>
          <t>KARLSKRONA</t>
        </is>
      </c>
      <c r="G17" t="n">
        <v>5.2</v>
      </c>
      <c r="H17" t="n">
        <v>0</v>
      </c>
      <c r="I17" t="n">
        <v>1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1</v>
      </c>
      <c r="R17" s="2" t="inlineStr">
        <is>
          <t>Tibast</t>
        </is>
      </c>
      <c r="S17">
        <f>HYPERLINK("https://klasma.github.io/Logging_1080/artfynd/A 69282-2021 artfynd.xlsx", "A 69282-2021")</f>
        <v/>
      </c>
      <c r="T17">
        <f>HYPERLINK("https://klasma.github.io/Logging_1080/kartor/A 69282-2021 karta.png", "A 69282-2021")</f>
        <v/>
      </c>
      <c r="V17">
        <f>HYPERLINK("https://klasma.github.io/Logging_1080/klagomål/A 69282-2021 FSC-klagomål.docx", "A 69282-2021")</f>
        <v/>
      </c>
      <c r="W17">
        <f>HYPERLINK("https://klasma.github.io/Logging_1080/klagomålsmail/A 69282-2021 FSC-klagomål mail.docx", "A 69282-2021")</f>
        <v/>
      </c>
      <c r="X17">
        <f>HYPERLINK("https://klasma.github.io/Logging_1080/tillsyn/A 69282-2021 tillsynsbegäran.docx", "A 69282-2021")</f>
        <v/>
      </c>
      <c r="Y17">
        <f>HYPERLINK("https://klasma.github.io/Logging_1080/tillsynsmail/A 69282-2021 tillsynsbegäran mail.docx", "A 69282-2021")</f>
        <v/>
      </c>
    </row>
    <row r="18" ht="15" customHeight="1">
      <c r="A18" t="inlineStr">
        <is>
          <t>A 13201-2023</t>
        </is>
      </c>
      <c r="B18" s="1" t="n">
        <v>45002.64284722223</v>
      </c>
      <c r="C18" s="1" t="n">
        <v>46100</v>
      </c>
      <c r="D18" t="inlineStr">
        <is>
          <t>BLEKINGE LÄN</t>
        </is>
      </c>
      <c r="E18" t="inlineStr">
        <is>
          <t>KARLSKRONA</t>
        </is>
      </c>
      <c r="G18" t="n">
        <v>6</v>
      </c>
      <c r="H18" t="n">
        <v>0</v>
      </c>
      <c r="I18" t="n">
        <v>0</v>
      </c>
      <c r="J18" t="n">
        <v>0</v>
      </c>
      <c r="K18" t="n">
        <v>1</v>
      </c>
      <c r="L18" t="n">
        <v>0</v>
      </c>
      <c r="M18" t="n">
        <v>0</v>
      </c>
      <c r="N18" t="n">
        <v>0</v>
      </c>
      <c r="O18" t="n">
        <v>1</v>
      </c>
      <c r="P18" t="n">
        <v>1</v>
      </c>
      <c r="Q18" t="n">
        <v>1</v>
      </c>
      <c r="R18" s="2" t="inlineStr">
        <is>
          <t>Stortimjan</t>
        </is>
      </c>
      <c r="S18">
        <f>HYPERLINK("https://klasma.github.io/Logging_1080/artfynd/A 13201-2023 artfynd.xlsx", "A 13201-2023")</f>
        <v/>
      </c>
      <c r="T18">
        <f>HYPERLINK("https://klasma.github.io/Logging_1080/kartor/A 13201-2023 karta.png", "A 13201-2023")</f>
        <v/>
      </c>
      <c r="V18">
        <f>HYPERLINK("https://klasma.github.io/Logging_1080/klagomål/A 13201-2023 FSC-klagomål.docx", "A 13201-2023")</f>
        <v/>
      </c>
      <c r="W18">
        <f>HYPERLINK("https://klasma.github.io/Logging_1080/klagomålsmail/A 13201-2023 FSC-klagomål mail.docx", "A 13201-2023")</f>
        <v/>
      </c>
      <c r="X18">
        <f>HYPERLINK("https://klasma.github.io/Logging_1080/tillsyn/A 13201-2023 tillsynsbegäran.docx", "A 13201-2023")</f>
        <v/>
      </c>
      <c r="Y18">
        <f>HYPERLINK("https://klasma.github.io/Logging_1080/tillsynsmail/A 13201-2023 tillsynsbegäran mail.docx", "A 13201-2023")</f>
        <v/>
      </c>
    </row>
    <row r="19" ht="15" customHeight="1">
      <c r="A19" t="inlineStr">
        <is>
          <t>A 30181-2023</t>
        </is>
      </c>
      <c r="B19" s="1" t="n">
        <v>45110.59303240741</v>
      </c>
      <c r="C19" s="1" t="n">
        <v>46100</v>
      </c>
      <c r="D19" t="inlineStr">
        <is>
          <t>BLEKINGE LÄN</t>
        </is>
      </c>
      <c r="E19" t="inlineStr">
        <is>
          <t>KARLSKRONA</t>
        </is>
      </c>
      <c r="G19" t="n">
        <v>3</v>
      </c>
      <c r="H19" t="n">
        <v>1</v>
      </c>
      <c r="I19" t="n">
        <v>0</v>
      </c>
      <c r="J19" t="n">
        <v>0</v>
      </c>
      <c r="K19" t="n">
        <v>1</v>
      </c>
      <c r="L19" t="n">
        <v>0</v>
      </c>
      <c r="M19" t="n">
        <v>0</v>
      </c>
      <c r="N19" t="n">
        <v>0</v>
      </c>
      <c r="O19" t="n">
        <v>1</v>
      </c>
      <c r="P19" t="n">
        <v>1</v>
      </c>
      <c r="Q19" t="n">
        <v>1</v>
      </c>
      <c r="R19" s="2" t="inlineStr">
        <is>
          <t>Hasselsnok</t>
        </is>
      </c>
      <c r="S19">
        <f>HYPERLINK("https://klasma.github.io/Logging_1080/artfynd/A 30181-2023 artfynd.xlsx", "A 30181-2023")</f>
        <v/>
      </c>
      <c r="T19">
        <f>HYPERLINK("https://klasma.github.io/Logging_1080/kartor/A 30181-2023 karta.png", "A 30181-2023")</f>
        <v/>
      </c>
      <c r="V19">
        <f>HYPERLINK("https://klasma.github.io/Logging_1080/klagomål/A 30181-2023 FSC-klagomål.docx", "A 30181-2023")</f>
        <v/>
      </c>
      <c r="W19">
        <f>HYPERLINK("https://klasma.github.io/Logging_1080/klagomålsmail/A 30181-2023 FSC-klagomål mail.docx", "A 30181-2023")</f>
        <v/>
      </c>
      <c r="X19">
        <f>HYPERLINK("https://klasma.github.io/Logging_1080/tillsyn/A 30181-2023 tillsynsbegäran.docx", "A 30181-2023")</f>
        <v/>
      </c>
      <c r="Y19">
        <f>HYPERLINK("https://klasma.github.io/Logging_1080/tillsynsmail/A 30181-2023 tillsynsbegäran mail.docx", "A 30181-2023")</f>
        <v/>
      </c>
    </row>
    <row r="20" ht="15" customHeight="1">
      <c r="A20" t="inlineStr">
        <is>
          <t>A 6221-2024</t>
        </is>
      </c>
      <c r="B20" s="1" t="n">
        <v>45337</v>
      </c>
      <c r="C20" s="1" t="n">
        <v>46100</v>
      </c>
      <c r="D20" t="inlineStr">
        <is>
          <t>BLEKINGE LÄN</t>
        </is>
      </c>
      <c r="E20" t="inlineStr">
        <is>
          <t>KARLSKRONA</t>
        </is>
      </c>
      <c r="G20" t="n">
        <v>0.8</v>
      </c>
      <c r="H20" t="n">
        <v>1</v>
      </c>
      <c r="I20" t="n">
        <v>1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1</v>
      </c>
      <c r="R20" s="2" t="inlineStr">
        <is>
          <t>Ekoxe</t>
        </is>
      </c>
      <c r="S20">
        <f>HYPERLINK("https://klasma.github.io/Logging_1080/artfynd/A 6221-2024 artfynd.xlsx", "A 6221-2024")</f>
        <v/>
      </c>
      <c r="T20">
        <f>HYPERLINK("https://klasma.github.io/Logging_1080/kartor/A 6221-2024 karta.png", "A 6221-2024")</f>
        <v/>
      </c>
      <c r="V20">
        <f>HYPERLINK("https://klasma.github.io/Logging_1080/klagomål/A 6221-2024 FSC-klagomål.docx", "A 6221-2024")</f>
        <v/>
      </c>
      <c r="W20">
        <f>HYPERLINK("https://klasma.github.io/Logging_1080/klagomålsmail/A 6221-2024 FSC-klagomål mail.docx", "A 6221-2024")</f>
        <v/>
      </c>
      <c r="X20">
        <f>HYPERLINK("https://klasma.github.io/Logging_1080/tillsyn/A 6221-2024 tillsynsbegäran.docx", "A 6221-2024")</f>
        <v/>
      </c>
      <c r="Y20">
        <f>HYPERLINK("https://klasma.github.io/Logging_1080/tillsynsmail/A 6221-2024 tillsynsbegäran mail.docx", "A 6221-2024")</f>
        <v/>
      </c>
    </row>
    <row r="21" ht="15" customHeight="1">
      <c r="A21" t="inlineStr">
        <is>
          <t>A 19602-2023</t>
        </is>
      </c>
      <c r="B21" s="1" t="n">
        <v>45050</v>
      </c>
      <c r="C21" s="1" t="n">
        <v>46100</v>
      </c>
      <c r="D21" t="inlineStr">
        <is>
          <t>BLEKINGE LÄN</t>
        </is>
      </c>
      <c r="E21" t="inlineStr">
        <is>
          <t>KARLSKRONA</t>
        </is>
      </c>
      <c r="G21" t="n">
        <v>19.5</v>
      </c>
      <c r="H21" t="n">
        <v>1</v>
      </c>
      <c r="I21" t="n">
        <v>0</v>
      </c>
      <c r="J21" t="n">
        <v>0</v>
      </c>
      <c r="K21" t="n">
        <v>1</v>
      </c>
      <c r="L21" t="n">
        <v>0</v>
      </c>
      <c r="M21" t="n">
        <v>0</v>
      </c>
      <c r="N21" t="n">
        <v>0</v>
      </c>
      <c r="O21" t="n">
        <v>1</v>
      </c>
      <c r="P21" t="n">
        <v>1</v>
      </c>
      <c r="Q21" t="n">
        <v>1</v>
      </c>
      <c r="R21" s="2" t="inlineStr">
        <is>
          <t>Backsippa</t>
        </is>
      </c>
      <c r="S21">
        <f>HYPERLINK("https://klasma.github.io/Logging_1080/artfynd/A 19602-2023 artfynd.xlsx", "A 19602-2023")</f>
        <v/>
      </c>
      <c r="T21">
        <f>HYPERLINK("https://klasma.github.io/Logging_1080/kartor/A 19602-2023 karta.png", "A 19602-2023")</f>
        <v/>
      </c>
      <c r="V21">
        <f>HYPERLINK("https://klasma.github.io/Logging_1080/klagomål/A 19602-2023 FSC-klagomål.docx", "A 19602-2023")</f>
        <v/>
      </c>
      <c r="W21">
        <f>HYPERLINK("https://klasma.github.io/Logging_1080/klagomålsmail/A 19602-2023 FSC-klagomål mail.docx", "A 19602-2023")</f>
        <v/>
      </c>
      <c r="X21">
        <f>HYPERLINK("https://klasma.github.io/Logging_1080/tillsyn/A 19602-2023 tillsynsbegäran.docx", "A 19602-2023")</f>
        <v/>
      </c>
      <c r="Y21">
        <f>HYPERLINK("https://klasma.github.io/Logging_1080/tillsynsmail/A 19602-2023 tillsynsbegäran mail.docx", "A 19602-2023")</f>
        <v/>
      </c>
    </row>
    <row r="22" ht="15" customHeight="1">
      <c r="A22" t="inlineStr">
        <is>
          <t>A 29985-2025</t>
        </is>
      </c>
      <c r="B22" s="1" t="n">
        <v>45826.49623842593</v>
      </c>
      <c r="C22" s="1" t="n">
        <v>46100</v>
      </c>
      <c r="D22" t="inlineStr">
        <is>
          <t>BLEKINGE LÄN</t>
        </is>
      </c>
      <c r="E22" t="inlineStr">
        <is>
          <t>KARLSKRONA</t>
        </is>
      </c>
      <c r="G22" t="n">
        <v>3</v>
      </c>
      <c r="H22" t="n">
        <v>0</v>
      </c>
      <c r="I22" t="n">
        <v>0</v>
      </c>
      <c r="J22" t="n">
        <v>1</v>
      </c>
      <c r="K22" t="n">
        <v>0</v>
      </c>
      <c r="L22" t="n">
        <v>0</v>
      </c>
      <c r="M22" t="n">
        <v>0</v>
      </c>
      <c r="N22" t="n">
        <v>0</v>
      </c>
      <c r="O22" t="n">
        <v>1</v>
      </c>
      <c r="P22" t="n">
        <v>0</v>
      </c>
      <c r="Q22" t="n">
        <v>1</v>
      </c>
      <c r="R22" s="2" t="inlineStr">
        <is>
          <t>Solvända</t>
        </is>
      </c>
      <c r="S22">
        <f>HYPERLINK("https://klasma.github.io/Logging_1080/artfynd/A 29985-2025 artfynd.xlsx", "A 29985-2025")</f>
        <v/>
      </c>
      <c r="T22">
        <f>HYPERLINK("https://klasma.github.io/Logging_1080/kartor/A 29985-2025 karta.png", "A 29985-2025")</f>
        <v/>
      </c>
      <c r="V22">
        <f>HYPERLINK("https://klasma.github.io/Logging_1080/klagomål/A 29985-2025 FSC-klagomål.docx", "A 29985-2025")</f>
        <v/>
      </c>
      <c r="W22">
        <f>HYPERLINK("https://klasma.github.io/Logging_1080/klagomålsmail/A 29985-2025 FSC-klagomål mail.docx", "A 29985-2025")</f>
        <v/>
      </c>
      <c r="X22">
        <f>HYPERLINK("https://klasma.github.io/Logging_1080/tillsyn/A 29985-2025 tillsynsbegäran.docx", "A 29985-2025")</f>
        <v/>
      </c>
      <c r="Y22">
        <f>HYPERLINK("https://klasma.github.io/Logging_1080/tillsynsmail/A 29985-2025 tillsynsbegäran mail.docx", "A 29985-2025")</f>
        <v/>
      </c>
    </row>
    <row r="23" ht="15" customHeight="1">
      <c r="A23" t="inlineStr">
        <is>
          <t>A 26603-2025</t>
        </is>
      </c>
      <c r="B23" s="1" t="n">
        <v>45809</v>
      </c>
      <c r="C23" s="1" t="n">
        <v>46100</v>
      </c>
      <c r="D23" t="inlineStr">
        <is>
          <t>BLEKINGE LÄN</t>
        </is>
      </c>
      <c r="E23" t="inlineStr">
        <is>
          <t>KARLSKRONA</t>
        </is>
      </c>
      <c r="G23" t="n">
        <v>3.9</v>
      </c>
      <c r="H23" t="n">
        <v>1</v>
      </c>
      <c r="I23" t="n">
        <v>0</v>
      </c>
      <c r="J23" t="n">
        <v>1</v>
      </c>
      <c r="K23" t="n">
        <v>0</v>
      </c>
      <c r="L23" t="n">
        <v>0</v>
      </c>
      <c r="M23" t="n">
        <v>0</v>
      </c>
      <c r="N23" t="n">
        <v>0</v>
      </c>
      <c r="O23" t="n">
        <v>1</v>
      </c>
      <c r="P23" t="n">
        <v>0</v>
      </c>
      <c r="Q23" t="n">
        <v>1</v>
      </c>
      <c r="R23" s="2" t="inlineStr">
        <is>
          <t>Långbensgroda</t>
        </is>
      </c>
      <c r="S23">
        <f>HYPERLINK("https://klasma.github.io/Logging_1080/artfynd/A 26603-2025 artfynd.xlsx", "A 26603-2025")</f>
        <v/>
      </c>
      <c r="T23">
        <f>HYPERLINK("https://klasma.github.io/Logging_1080/kartor/A 26603-2025 karta.png", "A 26603-2025")</f>
        <v/>
      </c>
      <c r="V23">
        <f>HYPERLINK("https://klasma.github.io/Logging_1080/klagomål/A 26603-2025 FSC-klagomål.docx", "A 26603-2025")</f>
        <v/>
      </c>
      <c r="W23">
        <f>HYPERLINK("https://klasma.github.io/Logging_1080/klagomålsmail/A 26603-2025 FSC-klagomål mail.docx", "A 26603-2025")</f>
        <v/>
      </c>
      <c r="X23">
        <f>HYPERLINK("https://klasma.github.io/Logging_1080/tillsyn/A 26603-2025 tillsynsbegäran.docx", "A 26603-2025")</f>
        <v/>
      </c>
      <c r="Y23">
        <f>HYPERLINK("https://klasma.github.io/Logging_1080/tillsynsmail/A 26603-2025 tillsynsbegäran mail.docx", "A 26603-2025")</f>
        <v/>
      </c>
    </row>
    <row r="24" ht="15" customHeight="1">
      <c r="A24" t="inlineStr">
        <is>
          <t>A 46709-2021</t>
        </is>
      </c>
      <c r="B24" s="1" t="n">
        <v>44445</v>
      </c>
      <c r="C24" s="1" t="n">
        <v>46100</v>
      </c>
      <c r="D24" t="inlineStr">
        <is>
          <t>BLEKINGE LÄN</t>
        </is>
      </c>
      <c r="E24" t="inlineStr">
        <is>
          <t>KARLSKRONA</t>
        </is>
      </c>
      <c r="G24" t="n">
        <v>11.3</v>
      </c>
      <c r="H24" t="n">
        <v>0</v>
      </c>
      <c r="I24" t="n">
        <v>0</v>
      </c>
      <c r="J24" t="n">
        <v>1</v>
      </c>
      <c r="K24" t="n">
        <v>0</v>
      </c>
      <c r="L24" t="n">
        <v>0</v>
      </c>
      <c r="M24" t="n">
        <v>0</v>
      </c>
      <c r="N24" t="n">
        <v>0</v>
      </c>
      <c r="O24" t="n">
        <v>1</v>
      </c>
      <c r="P24" t="n">
        <v>0</v>
      </c>
      <c r="Q24" t="n">
        <v>1</v>
      </c>
      <c r="R24" s="2" t="inlineStr">
        <is>
          <t>Vippärt</t>
        </is>
      </c>
      <c r="S24">
        <f>HYPERLINK("https://klasma.github.io/Logging_1080/artfynd/A 46709-2021 artfynd.xlsx", "A 46709-2021")</f>
        <v/>
      </c>
      <c r="T24">
        <f>HYPERLINK("https://klasma.github.io/Logging_1080/kartor/A 46709-2021 karta.png", "A 46709-2021")</f>
        <v/>
      </c>
      <c r="V24">
        <f>HYPERLINK("https://klasma.github.io/Logging_1080/klagomål/A 46709-2021 FSC-klagomål.docx", "A 46709-2021")</f>
        <v/>
      </c>
      <c r="W24">
        <f>HYPERLINK("https://klasma.github.io/Logging_1080/klagomålsmail/A 46709-2021 FSC-klagomål mail.docx", "A 46709-2021")</f>
        <v/>
      </c>
      <c r="X24">
        <f>HYPERLINK("https://klasma.github.io/Logging_1080/tillsyn/A 46709-2021 tillsynsbegäran.docx", "A 46709-2021")</f>
        <v/>
      </c>
      <c r="Y24">
        <f>HYPERLINK("https://klasma.github.io/Logging_1080/tillsynsmail/A 46709-2021 tillsynsbegäran mail.docx", "A 46709-2021")</f>
        <v/>
      </c>
    </row>
    <row r="25" ht="15" customHeight="1">
      <c r="A25" t="inlineStr">
        <is>
          <t>A 45591-2024</t>
        </is>
      </c>
      <c r="B25" s="1" t="n">
        <v>45579.41793981481</v>
      </c>
      <c r="C25" s="1" t="n">
        <v>46100</v>
      </c>
      <c r="D25" t="inlineStr">
        <is>
          <t>BLEKINGE LÄN</t>
        </is>
      </c>
      <c r="E25" t="inlineStr">
        <is>
          <t>KARLSKRONA</t>
        </is>
      </c>
      <c r="G25" t="n">
        <v>0.8</v>
      </c>
      <c r="H25" t="n">
        <v>0</v>
      </c>
      <c r="I25" t="n">
        <v>0</v>
      </c>
      <c r="J25" t="n">
        <v>1</v>
      </c>
      <c r="K25" t="n">
        <v>0</v>
      </c>
      <c r="L25" t="n">
        <v>0</v>
      </c>
      <c r="M25" t="n">
        <v>0</v>
      </c>
      <c r="N25" t="n">
        <v>0</v>
      </c>
      <c r="O25" t="n">
        <v>1</v>
      </c>
      <c r="P25" t="n">
        <v>0</v>
      </c>
      <c r="Q25" t="n">
        <v>1</v>
      </c>
      <c r="R25" s="2" t="inlineStr">
        <is>
          <t>Svartvit taggsvamp</t>
        </is>
      </c>
      <c r="S25">
        <f>HYPERLINK("https://klasma.github.io/Logging_1080/artfynd/A 45591-2024 artfynd.xlsx", "A 45591-2024")</f>
        <v/>
      </c>
      <c r="T25">
        <f>HYPERLINK("https://klasma.github.io/Logging_1080/kartor/A 45591-2024 karta.png", "A 45591-2024")</f>
        <v/>
      </c>
      <c r="V25">
        <f>HYPERLINK("https://klasma.github.io/Logging_1080/klagomål/A 45591-2024 FSC-klagomål.docx", "A 45591-2024")</f>
        <v/>
      </c>
      <c r="W25">
        <f>HYPERLINK("https://klasma.github.io/Logging_1080/klagomålsmail/A 45591-2024 FSC-klagomål mail.docx", "A 45591-2024")</f>
        <v/>
      </c>
      <c r="X25">
        <f>HYPERLINK("https://klasma.github.io/Logging_1080/tillsyn/A 45591-2024 tillsynsbegäran.docx", "A 45591-2024")</f>
        <v/>
      </c>
      <c r="Y25">
        <f>HYPERLINK("https://klasma.github.io/Logging_1080/tillsynsmail/A 45591-2024 tillsynsbegäran mail.docx", "A 45591-2024")</f>
        <v/>
      </c>
    </row>
    <row r="26" ht="15" customHeight="1">
      <c r="A26" t="inlineStr">
        <is>
          <t>A 6737-2026</t>
        </is>
      </c>
      <c r="B26" s="1" t="n">
        <v>46055</v>
      </c>
      <c r="C26" s="1" t="n">
        <v>46100</v>
      </c>
      <c r="D26" t="inlineStr">
        <is>
          <t>BLEKINGE LÄN</t>
        </is>
      </c>
      <c r="E26" t="inlineStr">
        <is>
          <t>KARLSKRONA</t>
        </is>
      </c>
      <c r="G26" t="n">
        <v>0.2</v>
      </c>
      <c r="H26" t="n">
        <v>1</v>
      </c>
      <c r="I26" t="n">
        <v>0</v>
      </c>
      <c r="J26" t="n">
        <v>1</v>
      </c>
      <c r="K26" t="n">
        <v>0</v>
      </c>
      <c r="L26" t="n">
        <v>0</v>
      </c>
      <c r="M26" t="n">
        <v>0</v>
      </c>
      <c r="N26" t="n">
        <v>0</v>
      </c>
      <c r="O26" t="n">
        <v>1</v>
      </c>
      <c r="P26" t="n">
        <v>0</v>
      </c>
      <c r="Q26" t="n">
        <v>1</v>
      </c>
      <c r="R26" s="2" t="inlineStr">
        <is>
          <t>Spillkråka</t>
        </is>
      </c>
      <c r="S26">
        <f>HYPERLINK("https://klasma.github.io/Logging_1080/artfynd/A 6737-2026 artfynd.xlsx", "A 6737-2026")</f>
        <v/>
      </c>
      <c r="T26">
        <f>HYPERLINK("https://klasma.github.io/Logging_1080/kartor/A 6737-2026 karta.png", "A 6737-2026")</f>
        <v/>
      </c>
      <c r="V26">
        <f>HYPERLINK("https://klasma.github.io/Logging_1080/klagomål/A 6737-2026 FSC-klagomål.docx", "A 6737-2026")</f>
        <v/>
      </c>
      <c r="W26">
        <f>HYPERLINK("https://klasma.github.io/Logging_1080/klagomålsmail/A 6737-2026 FSC-klagomål mail.docx", "A 6737-2026")</f>
        <v/>
      </c>
      <c r="X26">
        <f>HYPERLINK("https://klasma.github.io/Logging_1080/tillsyn/A 6737-2026 tillsynsbegäran.docx", "A 6737-2026")</f>
        <v/>
      </c>
      <c r="Y26">
        <f>HYPERLINK("https://klasma.github.io/Logging_1080/tillsynsmail/A 6737-2026 tillsynsbegäran mail.docx", "A 6737-2026")</f>
        <v/>
      </c>
      <c r="Z26">
        <f>HYPERLINK("https://klasma.github.io/Logging_1080/fåglar/A 6737-2026 prioriterade fågelarter.docx", "A 6737-2026")</f>
        <v/>
      </c>
    </row>
    <row r="27" ht="15" customHeight="1">
      <c r="A27" t="inlineStr">
        <is>
          <t>A 14576-2021</t>
        </is>
      </c>
      <c r="B27" s="1" t="n">
        <v>44279.88631944444</v>
      </c>
      <c r="C27" s="1" t="n">
        <v>46100</v>
      </c>
      <c r="D27" t="inlineStr">
        <is>
          <t>BLEKINGE LÄN</t>
        </is>
      </c>
      <c r="E27" t="inlineStr">
        <is>
          <t>KARLSKRONA</t>
        </is>
      </c>
      <c r="G27" t="n">
        <v>0.6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28333-2021</t>
        </is>
      </c>
      <c r="B28" s="1" t="n">
        <v>44356</v>
      </c>
      <c r="C28" s="1" t="n">
        <v>46100</v>
      </c>
      <c r="D28" t="inlineStr">
        <is>
          <t>BLEKINGE LÄN</t>
        </is>
      </c>
      <c r="E28" t="inlineStr">
        <is>
          <t>KARLSKRONA</t>
        </is>
      </c>
      <c r="G28" t="n">
        <v>3.6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14530-2021</t>
        </is>
      </c>
      <c r="B29" s="1" t="n">
        <v>44279</v>
      </c>
      <c r="C29" s="1" t="n">
        <v>46100</v>
      </c>
      <c r="D29" t="inlineStr">
        <is>
          <t>BLEKINGE LÄN</t>
        </is>
      </c>
      <c r="E29" t="inlineStr">
        <is>
          <t>KARLSKRONA</t>
        </is>
      </c>
      <c r="G29" t="n">
        <v>10.1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1754-2022</t>
        </is>
      </c>
      <c r="B30" s="1" t="n">
        <v>44574.53206018519</v>
      </c>
      <c r="C30" s="1" t="n">
        <v>46100</v>
      </c>
      <c r="D30" t="inlineStr">
        <is>
          <t>BLEKINGE LÄN</t>
        </is>
      </c>
      <c r="E30" t="inlineStr">
        <is>
          <t>KARLSKRONA</t>
        </is>
      </c>
      <c r="G30" t="n">
        <v>0.5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31266-2021</t>
        </is>
      </c>
      <c r="B31" s="1" t="n">
        <v>44368.68505787037</v>
      </c>
      <c r="C31" s="1" t="n">
        <v>46100</v>
      </c>
      <c r="D31" t="inlineStr">
        <is>
          <t>BLEKINGE LÄN</t>
        </is>
      </c>
      <c r="E31" t="inlineStr">
        <is>
          <t>KARLSKRONA</t>
        </is>
      </c>
      <c r="G31" t="n">
        <v>1.5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1136-2022</t>
        </is>
      </c>
      <c r="B32" s="1" t="n">
        <v>44572</v>
      </c>
      <c r="C32" s="1" t="n">
        <v>46100</v>
      </c>
      <c r="D32" t="inlineStr">
        <is>
          <t>BLEKINGE LÄN</t>
        </is>
      </c>
      <c r="E32" t="inlineStr">
        <is>
          <t>KARLSKRONA</t>
        </is>
      </c>
      <c r="G32" t="n">
        <v>1.8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73369-2021</t>
        </is>
      </c>
      <c r="B33" s="1" t="n">
        <v>44551</v>
      </c>
      <c r="C33" s="1" t="n">
        <v>46100</v>
      </c>
      <c r="D33" t="inlineStr">
        <is>
          <t>BLEKINGE LÄN</t>
        </is>
      </c>
      <c r="E33" t="inlineStr">
        <is>
          <t>KARLSKRONA</t>
        </is>
      </c>
      <c r="G33" t="n">
        <v>4.2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43353-2021</t>
        </is>
      </c>
      <c r="B34" s="1" t="n">
        <v>44432.52225694444</v>
      </c>
      <c r="C34" s="1" t="n">
        <v>46100</v>
      </c>
      <c r="D34" t="inlineStr">
        <is>
          <t>BLEKINGE LÄN</t>
        </is>
      </c>
      <c r="E34" t="inlineStr">
        <is>
          <t>KARLSKRONA</t>
        </is>
      </c>
      <c r="G34" t="n">
        <v>1.3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51351-2022</t>
        </is>
      </c>
      <c r="B35" s="1" t="n">
        <v>44869.37805555556</v>
      </c>
      <c r="C35" s="1" t="n">
        <v>46100</v>
      </c>
      <c r="D35" t="inlineStr">
        <is>
          <t>BLEKINGE LÄN</t>
        </is>
      </c>
      <c r="E35" t="inlineStr">
        <is>
          <t>KARLSKRONA</t>
        </is>
      </c>
      <c r="G35" t="n">
        <v>0.5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25472-2021</t>
        </is>
      </c>
      <c r="B36" s="1" t="n">
        <v>44342</v>
      </c>
      <c r="C36" s="1" t="n">
        <v>46100</v>
      </c>
      <c r="D36" t="inlineStr">
        <is>
          <t>BLEKINGE LÄN</t>
        </is>
      </c>
      <c r="E36" t="inlineStr">
        <is>
          <t>KARLSKRONA</t>
        </is>
      </c>
      <c r="G36" t="n">
        <v>0.5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25474-2021</t>
        </is>
      </c>
      <c r="B37" s="1" t="n">
        <v>44342</v>
      </c>
      <c r="C37" s="1" t="n">
        <v>46100</v>
      </c>
      <c r="D37" t="inlineStr">
        <is>
          <t>BLEKINGE LÄN</t>
        </is>
      </c>
      <c r="E37" t="inlineStr">
        <is>
          <t>KARLSKRONA</t>
        </is>
      </c>
      <c r="G37" t="n">
        <v>0.5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15266-2021</t>
        </is>
      </c>
      <c r="B38" s="1" t="n">
        <v>44284</v>
      </c>
      <c r="C38" s="1" t="n">
        <v>46100</v>
      </c>
      <c r="D38" t="inlineStr">
        <is>
          <t>BLEKINGE LÄN</t>
        </is>
      </c>
      <c r="E38" t="inlineStr">
        <is>
          <t>KARLSKRONA</t>
        </is>
      </c>
      <c r="G38" t="n">
        <v>0.7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15462-2021</t>
        </is>
      </c>
      <c r="B39" s="1" t="n">
        <v>44285</v>
      </c>
      <c r="C39" s="1" t="n">
        <v>46100</v>
      </c>
      <c r="D39" t="inlineStr">
        <is>
          <t>BLEKINGE LÄN</t>
        </is>
      </c>
      <c r="E39" t="inlineStr">
        <is>
          <t>KARLSKRONA</t>
        </is>
      </c>
      <c r="G39" t="n">
        <v>1.7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3333-2022</t>
        </is>
      </c>
      <c r="B40" s="1" t="n">
        <v>44585</v>
      </c>
      <c r="C40" s="1" t="n">
        <v>46100</v>
      </c>
      <c r="D40" t="inlineStr">
        <is>
          <t>BLEKINGE LÄN</t>
        </is>
      </c>
      <c r="E40" t="inlineStr">
        <is>
          <t>KARLSKRONA</t>
        </is>
      </c>
      <c r="G40" t="n">
        <v>0.5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6359-2022</t>
        </is>
      </c>
      <c r="B41" s="1" t="n">
        <v>44600</v>
      </c>
      <c r="C41" s="1" t="n">
        <v>46100</v>
      </c>
      <c r="D41" t="inlineStr">
        <is>
          <t>BLEKINGE LÄN</t>
        </is>
      </c>
      <c r="E41" t="inlineStr">
        <is>
          <t>KARLSKRONA</t>
        </is>
      </c>
      <c r="G41" t="n">
        <v>0.6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3391-2022</t>
        </is>
      </c>
      <c r="B42" s="1" t="n">
        <v>44585</v>
      </c>
      <c r="C42" s="1" t="n">
        <v>46100</v>
      </c>
      <c r="D42" t="inlineStr">
        <is>
          <t>BLEKINGE LÄN</t>
        </is>
      </c>
      <c r="E42" t="inlineStr">
        <is>
          <t>KARLSKRONA</t>
        </is>
      </c>
      <c r="G42" t="n">
        <v>23.9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54016-2021</t>
        </is>
      </c>
      <c r="B43" s="1" t="n">
        <v>44468</v>
      </c>
      <c r="C43" s="1" t="n">
        <v>46100</v>
      </c>
      <c r="D43" t="inlineStr">
        <is>
          <t>BLEKINGE LÄN</t>
        </is>
      </c>
      <c r="E43" t="inlineStr">
        <is>
          <t>KARLSKRONA</t>
        </is>
      </c>
      <c r="G43" t="n">
        <v>3.1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18687-2022</t>
        </is>
      </c>
      <c r="B44" s="1" t="n">
        <v>44687</v>
      </c>
      <c r="C44" s="1" t="n">
        <v>46100</v>
      </c>
      <c r="D44" t="inlineStr">
        <is>
          <t>BLEKINGE LÄN</t>
        </is>
      </c>
      <c r="E44" t="inlineStr">
        <is>
          <t>KARLSKRONA</t>
        </is>
      </c>
      <c r="G44" t="n">
        <v>0.1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16360-2022</t>
        </is>
      </c>
      <c r="B45" s="1" t="n">
        <v>44670</v>
      </c>
      <c r="C45" s="1" t="n">
        <v>46100</v>
      </c>
      <c r="D45" t="inlineStr">
        <is>
          <t>BLEKINGE LÄN</t>
        </is>
      </c>
      <c r="E45" t="inlineStr">
        <is>
          <t>KARLSKRONA</t>
        </is>
      </c>
      <c r="G45" t="n">
        <v>4.3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42011-2022</t>
        </is>
      </c>
      <c r="B46" s="1" t="n">
        <v>44830.46083333333</v>
      </c>
      <c r="C46" s="1" t="n">
        <v>46100</v>
      </c>
      <c r="D46" t="inlineStr">
        <is>
          <t>BLEKINGE LÄN</t>
        </is>
      </c>
      <c r="E46" t="inlineStr">
        <is>
          <t>KARLSKRONA</t>
        </is>
      </c>
      <c r="G46" t="n">
        <v>1.9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52814-2022</t>
        </is>
      </c>
      <c r="B47" s="1" t="n">
        <v>44875.43988425926</v>
      </c>
      <c r="C47" s="1" t="n">
        <v>46100</v>
      </c>
      <c r="D47" t="inlineStr">
        <is>
          <t>BLEKINGE LÄN</t>
        </is>
      </c>
      <c r="E47" t="inlineStr">
        <is>
          <t>KARLSKRONA</t>
        </is>
      </c>
      <c r="G47" t="n">
        <v>0.5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52825-2022</t>
        </is>
      </c>
      <c r="B48" s="1" t="n">
        <v>44875.4530787037</v>
      </c>
      <c r="C48" s="1" t="n">
        <v>46100</v>
      </c>
      <c r="D48" t="inlineStr">
        <is>
          <t>BLEKINGE LÄN</t>
        </is>
      </c>
      <c r="E48" t="inlineStr">
        <is>
          <t>KARLSKRONA</t>
        </is>
      </c>
      <c r="G48" t="n">
        <v>0.5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50260-2021</t>
        </is>
      </c>
      <c r="B49" s="1" t="n">
        <v>44458</v>
      </c>
      <c r="C49" s="1" t="n">
        <v>46100</v>
      </c>
      <c r="D49" t="inlineStr">
        <is>
          <t>BLEKINGE LÄN</t>
        </is>
      </c>
      <c r="E49" t="inlineStr">
        <is>
          <t>KARLSKRONA</t>
        </is>
      </c>
      <c r="G49" t="n">
        <v>2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57504-2021</t>
        </is>
      </c>
      <c r="B50" s="1" t="n">
        <v>44483.831875</v>
      </c>
      <c r="C50" s="1" t="n">
        <v>46100</v>
      </c>
      <c r="D50" t="inlineStr">
        <is>
          <t>BLEKINGE LÄN</t>
        </is>
      </c>
      <c r="E50" t="inlineStr">
        <is>
          <t>KARLSKRONA</t>
        </is>
      </c>
      <c r="G50" t="n">
        <v>0.5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22176-2021</t>
        </is>
      </c>
      <c r="B51" s="1" t="n">
        <v>44325</v>
      </c>
      <c r="C51" s="1" t="n">
        <v>46100</v>
      </c>
      <c r="D51" t="inlineStr">
        <is>
          <t>BLEKINGE LÄN</t>
        </is>
      </c>
      <c r="E51" t="inlineStr">
        <is>
          <t>KARLSKRONA</t>
        </is>
      </c>
      <c r="G51" t="n">
        <v>6.7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61722-2021</t>
        </is>
      </c>
      <c r="B52" s="1" t="n">
        <v>44501</v>
      </c>
      <c r="C52" s="1" t="n">
        <v>46100</v>
      </c>
      <c r="D52" t="inlineStr">
        <is>
          <t>BLEKINGE LÄN</t>
        </is>
      </c>
      <c r="E52" t="inlineStr">
        <is>
          <t>KARLSKRONA</t>
        </is>
      </c>
      <c r="G52" t="n">
        <v>0.7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27114-2021</t>
        </is>
      </c>
      <c r="B53" s="1" t="n">
        <v>44350.5575925926</v>
      </c>
      <c r="C53" s="1" t="n">
        <v>46100</v>
      </c>
      <c r="D53" t="inlineStr">
        <is>
          <t>BLEKINGE LÄN</t>
        </is>
      </c>
      <c r="E53" t="inlineStr">
        <is>
          <t>KARLSKRONA</t>
        </is>
      </c>
      <c r="G53" t="n">
        <v>1.3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74345-2021</t>
        </is>
      </c>
      <c r="B54" s="1" t="n">
        <v>44559.5102662037</v>
      </c>
      <c r="C54" s="1" t="n">
        <v>46100</v>
      </c>
      <c r="D54" t="inlineStr">
        <is>
          <t>BLEKINGE LÄN</t>
        </is>
      </c>
      <c r="E54" t="inlineStr">
        <is>
          <t>KARLSKRONA</t>
        </is>
      </c>
      <c r="G54" t="n">
        <v>5.2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41035-2021</t>
        </is>
      </c>
      <c r="B55" s="1" t="n">
        <v>44421</v>
      </c>
      <c r="C55" s="1" t="n">
        <v>46100</v>
      </c>
      <c r="D55" t="inlineStr">
        <is>
          <t>BLEKINGE LÄN</t>
        </is>
      </c>
      <c r="E55" t="inlineStr">
        <is>
          <t>KARLSKRONA</t>
        </is>
      </c>
      <c r="G55" t="n">
        <v>3.8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19146-2022</t>
        </is>
      </c>
      <c r="B56" s="1" t="n">
        <v>44691.62895833333</v>
      </c>
      <c r="C56" s="1" t="n">
        <v>46100</v>
      </c>
      <c r="D56" t="inlineStr">
        <is>
          <t>BLEKINGE LÄN</t>
        </is>
      </c>
      <c r="E56" t="inlineStr">
        <is>
          <t>KARLSKRONA</t>
        </is>
      </c>
      <c r="G56" t="n">
        <v>2.5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38415-2021</t>
        </is>
      </c>
      <c r="B57" s="1" t="n">
        <v>44406</v>
      </c>
      <c r="C57" s="1" t="n">
        <v>46100</v>
      </c>
      <c r="D57" t="inlineStr">
        <is>
          <t>BLEKINGE LÄN</t>
        </is>
      </c>
      <c r="E57" t="inlineStr">
        <is>
          <t>KARLSKRONA</t>
        </is>
      </c>
      <c r="G57" t="n">
        <v>5.4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31174-2021</t>
        </is>
      </c>
      <c r="B58" s="1" t="n">
        <v>44368</v>
      </c>
      <c r="C58" s="1" t="n">
        <v>46100</v>
      </c>
      <c r="D58" t="inlineStr">
        <is>
          <t>BLEKINGE LÄN</t>
        </is>
      </c>
      <c r="E58" t="inlineStr">
        <is>
          <t>KARLSKRONA</t>
        </is>
      </c>
      <c r="G58" t="n">
        <v>9.300000000000001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47971-2021</t>
        </is>
      </c>
      <c r="B59" s="1" t="n">
        <v>44449</v>
      </c>
      <c r="C59" s="1" t="n">
        <v>46100</v>
      </c>
      <c r="D59" t="inlineStr">
        <is>
          <t>BLEKINGE LÄN</t>
        </is>
      </c>
      <c r="E59" t="inlineStr">
        <is>
          <t>KARLSKRONA</t>
        </is>
      </c>
      <c r="G59" t="n">
        <v>2.5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38389-2021</t>
        </is>
      </c>
      <c r="B60" s="1" t="n">
        <v>44406.65106481482</v>
      </c>
      <c r="C60" s="1" t="n">
        <v>46100</v>
      </c>
      <c r="D60" t="inlineStr">
        <is>
          <t>BLEKINGE LÄN</t>
        </is>
      </c>
      <c r="E60" t="inlineStr">
        <is>
          <t>KARLSKRONA</t>
        </is>
      </c>
      <c r="G60" t="n">
        <v>0.7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68264-2021</t>
        </is>
      </c>
      <c r="B61" s="1" t="n">
        <v>44526.64325231482</v>
      </c>
      <c r="C61" s="1" t="n">
        <v>46100</v>
      </c>
      <c r="D61" t="inlineStr">
        <is>
          <t>BLEKINGE LÄN</t>
        </is>
      </c>
      <c r="E61" t="inlineStr">
        <is>
          <t>KARLSKRONA</t>
        </is>
      </c>
      <c r="G61" t="n">
        <v>2.6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38817-2021</t>
        </is>
      </c>
      <c r="B62" s="1" t="n">
        <v>44411.27403935185</v>
      </c>
      <c r="C62" s="1" t="n">
        <v>46100</v>
      </c>
      <c r="D62" t="inlineStr">
        <is>
          <t>BLEKINGE LÄN</t>
        </is>
      </c>
      <c r="E62" t="inlineStr">
        <is>
          <t>KARLSKRONA</t>
        </is>
      </c>
      <c r="G62" t="n">
        <v>1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45935-2021</t>
        </is>
      </c>
      <c r="B63" s="1" t="n">
        <v>44441</v>
      </c>
      <c r="C63" s="1" t="n">
        <v>46100</v>
      </c>
      <c r="D63" t="inlineStr">
        <is>
          <t>BLEKINGE LÄN</t>
        </is>
      </c>
      <c r="E63" t="inlineStr">
        <is>
          <t>KARLSKRONA</t>
        </is>
      </c>
      <c r="G63" t="n">
        <v>0.6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51528-2021</t>
        </is>
      </c>
      <c r="B64" s="1" t="n">
        <v>44462.38528935185</v>
      </c>
      <c r="C64" s="1" t="n">
        <v>46100</v>
      </c>
      <c r="D64" t="inlineStr">
        <is>
          <t>BLEKINGE LÄN</t>
        </is>
      </c>
      <c r="E64" t="inlineStr">
        <is>
          <t>KARLSKRONA</t>
        </is>
      </c>
      <c r="G64" t="n">
        <v>0.5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15319-2022</t>
        </is>
      </c>
      <c r="B65" s="1" t="n">
        <v>44659.49101851852</v>
      </c>
      <c r="C65" s="1" t="n">
        <v>46100</v>
      </c>
      <c r="D65" t="inlineStr">
        <is>
          <t>BLEKINGE LÄN</t>
        </is>
      </c>
      <c r="E65" t="inlineStr">
        <is>
          <t>KARLSKRONA</t>
        </is>
      </c>
      <c r="G65" t="n">
        <v>0.5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20279-2021</t>
        </is>
      </c>
      <c r="B66" s="1" t="n">
        <v>44314.85686342593</v>
      </c>
      <c r="C66" s="1" t="n">
        <v>46100</v>
      </c>
      <c r="D66" t="inlineStr">
        <is>
          <t>BLEKINGE LÄN</t>
        </is>
      </c>
      <c r="E66" t="inlineStr">
        <is>
          <t>KARLSKRONA</t>
        </is>
      </c>
      <c r="G66" t="n">
        <v>4.4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35510-2021</t>
        </is>
      </c>
      <c r="B67" s="1" t="n">
        <v>44384</v>
      </c>
      <c r="C67" s="1" t="n">
        <v>46100</v>
      </c>
      <c r="D67" t="inlineStr">
        <is>
          <t>BLEKINGE LÄN</t>
        </is>
      </c>
      <c r="E67" t="inlineStr">
        <is>
          <t>KARLSKRONA</t>
        </is>
      </c>
      <c r="G67" t="n">
        <v>1.6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16926-2022</t>
        </is>
      </c>
      <c r="B68" s="1" t="n">
        <v>44676.45043981481</v>
      </c>
      <c r="C68" s="1" t="n">
        <v>46100</v>
      </c>
      <c r="D68" t="inlineStr">
        <is>
          <t>BLEKINGE LÄN</t>
        </is>
      </c>
      <c r="E68" t="inlineStr">
        <is>
          <t>KARLSKRONA</t>
        </is>
      </c>
      <c r="G68" t="n">
        <v>0.5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62169-2021</t>
        </is>
      </c>
      <c r="B69" s="1" t="n">
        <v>44502</v>
      </c>
      <c r="C69" s="1" t="n">
        <v>46100</v>
      </c>
      <c r="D69" t="inlineStr">
        <is>
          <t>BLEKINGE LÄN</t>
        </is>
      </c>
      <c r="E69" t="inlineStr">
        <is>
          <t>KARLSKRONA</t>
        </is>
      </c>
      <c r="G69" t="n">
        <v>2.4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15466-2021</t>
        </is>
      </c>
      <c r="B70" s="1" t="n">
        <v>44285.43686342592</v>
      </c>
      <c r="C70" s="1" t="n">
        <v>46100</v>
      </c>
      <c r="D70" t="inlineStr">
        <is>
          <t>BLEKINGE LÄN</t>
        </is>
      </c>
      <c r="E70" t="inlineStr">
        <is>
          <t>KARLSKRONA</t>
        </is>
      </c>
      <c r="G70" t="n">
        <v>0.4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11303-2022</t>
        </is>
      </c>
      <c r="B71" s="1" t="n">
        <v>44629.93263888889</v>
      </c>
      <c r="C71" s="1" t="n">
        <v>46100</v>
      </c>
      <c r="D71" t="inlineStr">
        <is>
          <t>BLEKINGE LÄN</t>
        </is>
      </c>
      <c r="E71" t="inlineStr">
        <is>
          <t>KARLSKRONA</t>
        </is>
      </c>
      <c r="G71" t="n">
        <v>1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29275-2021</t>
        </is>
      </c>
      <c r="B72" s="1" t="n">
        <v>44361.36178240741</v>
      </c>
      <c r="C72" s="1" t="n">
        <v>46100</v>
      </c>
      <c r="D72" t="inlineStr">
        <is>
          <t>BLEKINGE LÄN</t>
        </is>
      </c>
      <c r="E72" t="inlineStr">
        <is>
          <t>KARLSKRONA</t>
        </is>
      </c>
      <c r="G72" t="n">
        <v>1.4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32632-2021</t>
        </is>
      </c>
      <c r="B73" s="1" t="n">
        <v>44375</v>
      </c>
      <c r="C73" s="1" t="n">
        <v>46100</v>
      </c>
      <c r="D73" t="inlineStr">
        <is>
          <t>BLEKINGE LÄN</t>
        </is>
      </c>
      <c r="E73" t="inlineStr">
        <is>
          <t>KARLSKRONA</t>
        </is>
      </c>
      <c r="G73" t="n">
        <v>1.9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21265-2022</t>
        </is>
      </c>
      <c r="B74" s="1" t="n">
        <v>44705</v>
      </c>
      <c r="C74" s="1" t="n">
        <v>46100</v>
      </c>
      <c r="D74" t="inlineStr">
        <is>
          <t>BLEKINGE LÄN</t>
        </is>
      </c>
      <c r="E74" t="inlineStr">
        <is>
          <t>KARLSKRONA</t>
        </is>
      </c>
      <c r="G74" t="n">
        <v>4.9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44489-2021</t>
        </is>
      </c>
      <c r="B75" s="1" t="n">
        <v>44435</v>
      </c>
      <c r="C75" s="1" t="n">
        <v>46100</v>
      </c>
      <c r="D75" t="inlineStr">
        <is>
          <t>BLEKINGE LÄN</t>
        </is>
      </c>
      <c r="E75" t="inlineStr">
        <is>
          <t>KARLSKRONA</t>
        </is>
      </c>
      <c r="G75" t="n">
        <v>2.8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30960-2021</t>
        </is>
      </c>
      <c r="B76" s="1" t="n">
        <v>44365</v>
      </c>
      <c r="C76" s="1" t="n">
        <v>46100</v>
      </c>
      <c r="D76" t="inlineStr">
        <is>
          <t>BLEKINGE LÄN</t>
        </is>
      </c>
      <c r="E76" t="inlineStr">
        <is>
          <t>KARLSKRONA</t>
        </is>
      </c>
      <c r="G76" t="n">
        <v>1.7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37499-2021</t>
        </is>
      </c>
      <c r="B77" s="1" t="n">
        <v>44399</v>
      </c>
      <c r="C77" s="1" t="n">
        <v>46100</v>
      </c>
      <c r="D77" t="inlineStr">
        <is>
          <t>BLEKINGE LÄN</t>
        </is>
      </c>
      <c r="E77" t="inlineStr">
        <is>
          <t>KARLSKRONA</t>
        </is>
      </c>
      <c r="G77" t="n">
        <v>1.1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23142-2022</t>
        </is>
      </c>
      <c r="B78" s="1" t="n">
        <v>44719.61128472222</v>
      </c>
      <c r="C78" s="1" t="n">
        <v>46100</v>
      </c>
      <c r="D78" t="inlineStr">
        <is>
          <t>BLEKINGE LÄN</t>
        </is>
      </c>
      <c r="E78" t="inlineStr">
        <is>
          <t>KARLSKRONA</t>
        </is>
      </c>
      <c r="G78" t="n">
        <v>0.5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62510-2021</t>
        </is>
      </c>
      <c r="B79" s="1" t="n">
        <v>44503</v>
      </c>
      <c r="C79" s="1" t="n">
        <v>46100</v>
      </c>
      <c r="D79" t="inlineStr">
        <is>
          <t>BLEKINGE LÄN</t>
        </is>
      </c>
      <c r="E79" t="inlineStr">
        <is>
          <t>KARLSKRONA</t>
        </is>
      </c>
      <c r="G79" t="n">
        <v>1.6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51862-2021</t>
        </is>
      </c>
      <c r="B80" s="1" t="n">
        <v>44462</v>
      </c>
      <c r="C80" s="1" t="n">
        <v>46100</v>
      </c>
      <c r="D80" t="inlineStr">
        <is>
          <t>BLEKINGE LÄN</t>
        </is>
      </c>
      <c r="E80" t="inlineStr">
        <is>
          <t>KARLSKRONA</t>
        </is>
      </c>
      <c r="G80" t="n">
        <v>2.5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47495-2021</t>
        </is>
      </c>
      <c r="B81" s="1" t="n">
        <v>44447.68054398148</v>
      </c>
      <c r="C81" s="1" t="n">
        <v>46100</v>
      </c>
      <c r="D81" t="inlineStr">
        <is>
          <t>BLEKINGE LÄN</t>
        </is>
      </c>
      <c r="E81" t="inlineStr">
        <is>
          <t>KARLSKRONA</t>
        </is>
      </c>
      <c r="G81" t="n">
        <v>1.1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61190-2021</t>
        </is>
      </c>
      <c r="B82" s="1" t="n">
        <v>44498</v>
      </c>
      <c r="C82" s="1" t="n">
        <v>46100</v>
      </c>
      <c r="D82" t="inlineStr">
        <is>
          <t>BLEKINGE LÄN</t>
        </is>
      </c>
      <c r="E82" t="inlineStr">
        <is>
          <t>KARLSKRONA</t>
        </is>
      </c>
      <c r="G82" t="n">
        <v>2.8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61080-2021</t>
        </is>
      </c>
      <c r="B83" s="1" t="n">
        <v>44497.92861111111</v>
      </c>
      <c r="C83" s="1" t="n">
        <v>46100</v>
      </c>
      <c r="D83" t="inlineStr">
        <is>
          <t>BLEKINGE LÄN</t>
        </is>
      </c>
      <c r="E83" t="inlineStr">
        <is>
          <t>KARLSKRONA</t>
        </is>
      </c>
      <c r="G83" t="n">
        <v>2.9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61081-2021</t>
        </is>
      </c>
      <c r="B84" s="1" t="n">
        <v>44497</v>
      </c>
      <c r="C84" s="1" t="n">
        <v>46100</v>
      </c>
      <c r="D84" t="inlineStr">
        <is>
          <t>BLEKINGE LÄN</t>
        </is>
      </c>
      <c r="E84" t="inlineStr">
        <is>
          <t>KARLSKRONA</t>
        </is>
      </c>
      <c r="G84" t="n">
        <v>2.1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37206-2022</t>
        </is>
      </c>
      <c r="B85" s="1" t="n">
        <v>44806</v>
      </c>
      <c r="C85" s="1" t="n">
        <v>46100</v>
      </c>
      <c r="D85" t="inlineStr">
        <is>
          <t>BLEKINGE LÄN</t>
        </is>
      </c>
      <c r="E85" t="inlineStr">
        <is>
          <t>KARLSKRONA</t>
        </is>
      </c>
      <c r="G85" t="n">
        <v>0.6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29444-2021</t>
        </is>
      </c>
      <c r="B86" s="1" t="n">
        <v>44361.59884259259</v>
      </c>
      <c r="C86" s="1" t="n">
        <v>46100</v>
      </c>
      <c r="D86" t="inlineStr">
        <is>
          <t>BLEKINGE LÄN</t>
        </is>
      </c>
      <c r="E86" t="inlineStr">
        <is>
          <t>KARLSKRONA</t>
        </is>
      </c>
      <c r="G86" t="n">
        <v>2.1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25689-2021</t>
        </is>
      </c>
      <c r="B87" s="1" t="n">
        <v>44343</v>
      </c>
      <c r="C87" s="1" t="n">
        <v>46100</v>
      </c>
      <c r="D87" t="inlineStr">
        <is>
          <t>BLEKINGE LÄN</t>
        </is>
      </c>
      <c r="E87" t="inlineStr">
        <is>
          <t>KARLSKRONA</t>
        </is>
      </c>
      <c r="G87" t="n">
        <v>0.4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41248-2021</t>
        </is>
      </c>
      <c r="B88" s="1" t="n">
        <v>44424</v>
      </c>
      <c r="C88" s="1" t="n">
        <v>46100</v>
      </c>
      <c r="D88" t="inlineStr">
        <is>
          <t>BLEKINGE LÄN</t>
        </is>
      </c>
      <c r="E88" t="inlineStr">
        <is>
          <t>KARLSKRONA</t>
        </is>
      </c>
      <c r="G88" t="n">
        <v>1.2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46311-2021</t>
        </is>
      </c>
      <c r="B89" s="1" t="n">
        <v>44442</v>
      </c>
      <c r="C89" s="1" t="n">
        <v>46100</v>
      </c>
      <c r="D89" t="inlineStr">
        <is>
          <t>BLEKINGE LÄN</t>
        </is>
      </c>
      <c r="E89" t="inlineStr">
        <is>
          <t>KARLSKRONA</t>
        </is>
      </c>
      <c r="G89" t="n">
        <v>1.8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10628-2022</t>
        </is>
      </c>
      <c r="B90" s="1" t="n">
        <v>44624</v>
      </c>
      <c r="C90" s="1" t="n">
        <v>46100</v>
      </c>
      <c r="D90" t="inlineStr">
        <is>
          <t>BLEKINGE LÄN</t>
        </is>
      </c>
      <c r="E90" t="inlineStr">
        <is>
          <t>KARLSKRONA</t>
        </is>
      </c>
      <c r="G90" t="n">
        <v>2.6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53560-2022</t>
        </is>
      </c>
      <c r="B91" s="1" t="n">
        <v>44874</v>
      </c>
      <c r="C91" s="1" t="n">
        <v>46100</v>
      </c>
      <c r="D91" t="inlineStr">
        <is>
          <t>BLEKINGE LÄN</t>
        </is>
      </c>
      <c r="E91" t="inlineStr">
        <is>
          <t>KARLSKRONA</t>
        </is>
      </c>
      <c r="G91" t="n">
        <v>0.4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27489-2022</t>
        </is>
      </c>
      <c r="B92" s="1" t="n">
        <v>44742</v>
      </c>
      <c r="C92" s="1" t="n">
        <v>46100</v>
      </c>
      <c r="D92" t="inlineStr">
        <is>
          <t>BLEKINGE LÄN</t>
        </is>
      </c>
      <c r="E92" t="inlineStr">
        <is>
          <t>KARLSKRONA</t>
        </is>
      </c>
      <c r="G92" t="n">
        <v>8.1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11173-2022</t>
        </is>
      </c>
      <c r="B93" s="1" t="n">
        <v>44629</v>
      </c>
      <c r="C93" s="1" t="n">
        <v>46100</v>
      </c>
      <c r="D93" t="inlineStr">
        <is>
          <t>BLEKINGE LÄN</t>
        </is>
      </c>
      <c r="E93" t="inlineStr">
        <is>
          <t>KARLSKRONA</t>
        </is>
      </c>
      <c r="G93" t="n">
        <v>0.8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45996-2021</t>
        </is>
      </c>
      <c r="B94" s="1" t="n">
        <v>44441.76258101852</v>
      </c>
      <c r="C94" s="1" t="n">
        <v>46100</v>
      </c>
      <c r="D94" t="inlineStr">
        <is>
          <t>BLEKINGE LÄN</t>
        </is>
      </c>
      <c r="E94" t="inlineStr">
        <is>
          <t>KARLSKRONA</t>
        </is>
      </c>
      <c r="G94" t="n">
        <v>6.8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27130-2021</t>
        </is>
      </c>
      <c r="B95" s="1" t="n">
        <v>44350</v>
      </c>
      <c r="C95" s="1" t="n">
        <v>46100</v>
      </c>
      <c r="D95" t="inlineStr">
        <is>
          <t>BLEKINGE LÄN</t>
        </is>
      </c>
      <c r="E95" t="inlineStr">
        <is>
          <t>KARLSKRONA</t>
        </is>
      </c>
      <c r="G95" t="n">
        <v>0.6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18288-2021</t>
        </is>
      </c>
      <c r="B96" s="1" t="n">
        <v>44305.43628472222</v>
      </c>
      <c r="C96" s="1" t="n">
        <v>46100</v>
      </c>
      <c r="D96" t="inlineStr">
        <is>
          <t>BLEKINGE LÄN</t>
        </is>
      </c>
      <c r="E96" t="inlineStr">
        <is>
          <t>KARLSKRONA</t>
        </is>
      </c>
      <c r="G96" t="n">
        <v>0.6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45997-2021</t>
        </is>
      </c>
      <c r="B97" s="1" t="n">
        <v>44441</v>
      </c>
      <c r="C97" s="1" t="n">
        <v>46100</v>
      </c>
      <c r="D97" t="inlineStr">
        <is>
          <t>BLEKINGE LÄN</t>
        </is>
      </c>
      <c r="E97" t="inlineStr">
        <is>
          <t>KARLSKRONA</t>
        </is>
      </c>
      <c r="G97" t="n">
        <v>1.6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30333-2021</t>
        </is>
      </c>
      <c r="B98" s="1" t="n">
        <v>44364</v>
      </c>
      <c r="C98" s="1" t="n">
        <v>46100</v>
      </c>
      <c r="D98" t="inlineStr">
        <is>
          <t>BLEKINGE LÄN</t>
        </is>
      </c>
      <c r="E98" t="inlineStr">
        <is>
          <t>KARLSKRONA</t>
        </is>
      </c>
      <c r="G98" t="n">
        <v>0.8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32517-2021</t>
        </is>
      </c>
      <c r="B99" s="1" t="n">
        <v>44374.73391203704</v>
      </c>
      <c r="C99" s="1" t="n">
        <v>46100</v>
      </c>
      <c r="D99" t="inlineStr">
        <is>
          <t>BLEKINGE LÄN</t>
        </is>
      </c>
      <c r="E99" t="inlineStr">
        <is>
          <t>KARLSKRONA</t>
        </is>
      </c>
      <c r="G99" t="n">
        <v>1.4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61725-2021</t>
        </is>
      </c>
      <c r="B100" s="1" t="n">
        <v>44501.61</v>
      </c>
      <c r="C100" s="1" t="n">
        <v>46100</v>
      </c>
      <c r="D100" t="inlineStr">
        <is>
          <t>BLEKINGE LÄN</t>
        </is>
      </c>
      <c r="E100" t="inlineStr">
        <is>
          <t>KARLSKRONA</t>
        </is>
      </c>
      <c r="G100" t="n">
        <v>0.5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44114-2021</t>
        </is>
      </c>
      <c r="B101" s="1" t="n">
        <v>44434.60960648148</v>
      </c>
      <c r="C101" s="1" t="n">
        <v>46100</v>
      </c>
      <c r="D101" t="inlineStr">
        <is>
          <t>BLEKINGE LÄN</t>
        </is>
      </c>
      <c r="E101" t="inlineStr">
        <is>
          <t>KARLSKRONA</t>
        </is>
      </c>
      <c r="G101" t="n">
        <v>4.9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861-2022</t>
        </is>
      </c>
      <c r="B102" s="1" t="n">
        <v>44571.43729166667</v>
      </c>
      <c r="C102" s="1" t="n">
        <v>46100</v>
      </c>
      <c r="D102" t="inlineStr">
        <is>
          <t>BLEKINGE LÄN</t>
        </is>
      </c>
      <c r="E102" t="inlineStr">
        <is>
          <t>KARLSKRONA</t>
        </is>
      </c>
      <c r="G102" t="n">
        <v>2.1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40788-2021</t>
        </is>
      </c>
      <c r="B103" s="1" t="n">
        <v>44420</v>
      </c>
      <c r="C103" s="1" t="n">
        <v>46100</v>
      </c>
      <c r="D103" t="inlineStr">
        <is>
          <t>BLEKINGE LÄN</t>
        </is>
      </c>
      <c r="E103" t="inlineStr">
        <is>
          <t>KARLSKRONA</t>
        </is>
      </c>
      <c r="G103" t="n">
        <v>2.5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46890-2021</t>
        </is>
      </c>
      <c r="B104" s="1" t="n">
        <v>44446.44287037037</v>
      </c>
      <c r="C104" s="1" t="n">
        <v>46100</v>
      </c>
      <c r="D104" t="inlineStr">
        <is>
          <t>BLEKINGE LÄN</t>
        </is>
      </c>
      <c r="E104" t="inlineStr">
        <is>
          <t>KARLSKRONA</t>
        </is>
      </c>
      <c r="G104" t="n">
        <v>2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6037-2022</t>
        </is>
      </c>
      <c r="B105" s="1" t="n">
        <v>44599</v>
      </c>
      <c r="C105" s="1" t="n">
        <v>46100</v>
      </c>
      <c r="D105" t="inlineStr">
        <is>
          <t>BLEKINGE LÄN</t>
        </is>
      </c>
      <c r="E105" t="inlineStr">
        <is>
          <t>KARLSKRONA</t>
        </is>
      </c>
      <c r="G105" t="n">
        <v>2.3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1139-2022</t>
        </is>
      </c>
      <c r="B106" s="1" t="n">
        <v>44572</v>
      </c>
      <c r="C106" s="1" t="n">
        <v>46100</v>
      </c>
      <c r="D106" t="inlineStr">
        <is>
          <t>BLEKINGE LÄN</t>
        </is>
      </c>
      <c r="E106" t="inlineStr">
        <is>
          <t>KARLSKRONA</t>
        </is>
      </c>
      <c r="G106" t="n">
        <v>2.1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17647-2021</t>
        </is>
      </c>
      <c r="B107" s="1" t="n">
        <v>44300</v>
      </c>
      <c r="C107" s="1" t="n">
        <v>46100</v>
      </c>
      <c r="D107" t="inlineStr">
        <is>
          <t>BLEKINGE LÄN</t>
        </is>
      </c>
      <c r="E107" t="inlineStr">
        <is>
          <t>KARLSKRONA</t>
        </is>
      </c>
      <c r="F107" t="inlineStr">
        <is>
          <t>Kommuner</t>
        </is>
      </c>
      <c r="G107" t="n">
        <v>1.4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59366-2021</t>
        </is>
      </c>
      <c r="B108" s="1" t="n">
        <v>44491</v>
      </c>
      <c r="C108" s="1" t="n">
        <v>46100</v>
      </c>
      <c r="D108" t="inlineStr">
        <is>
          <t>BLEKINGE LÄN</t>
        </is>
      </c>
      <c r="E108" t="inlineStr">
        <is>
          <t>KARLSKRONA</t>
        </is>
      </c>
      <c r="G108" t="n">
        <v>2.1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43813-2021</t>
        </is>
      </c>
      <c r="B109" s="1" t="n">
        <v>44433.9015162037</v>
      </c>
      <c r="C109" s="1" t="n">
        <v>46100</v>
      </c>
      <c r="D109" t="inlineStr">
        <is>
          <t>BLEKINGE LÄN</t>
        </is>
      </c>
      <c r="E109" t="inlineStr">
        <is>
          <t>KARLSKRONA</t>
        </is>
      </c>
      <c r="G109" t="n">
        <v>2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20278-2021</t>
        </is>
      </c>
      <c r="B110" s="1" t="n">
        <v>44314.85135416667</v>
      </c>
      <c r="C110" s="1" t="n">
        <v>46100</v>
      </c>
      <c r="D110" t="inlineStr">
        <is>
          <t>BLEKINGE LÄN</t>
        </is>
      </c>
      <c r="E110" t="inlineStr">
        <is>
          <t>KARLSKRONA</t>
        </is>
      </c>
      <c r="G110" t="n">
        <v>1.9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48782-2021</t>
        </is>
      </c>
      <c r="B111" s="1" t="n">
        <v>44452</v>
      </c>
      <c r="C111" s="1" t="n">
        <v>46100</v>
      </c>
      <c r="D111" t="inlineStr">
        <is>
          <t>BLEKINGE LÄN</t>
        </is>
      </c>
      <c r="E111" t="inlineStr">
        <is>
          <t>KARLSKRONA</t>
        </is>
      </c>
      <c r="G111" t="n">
        <v>1.5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4064-2022</t>
        </is>
      </c>
      <c r="B112" s="1" t="n">
        <v>44588.36425925926</v>
      </c>
      <c r="C112" s="1" t="n">
        <v>46100</v>
      </c>
      <c r="D112" t="inlineStr">
        <is>
          <t>BLEKINGE LÄN</t>
        </is>
      </c>
      <c r="E112" t="inlineStr">
        <is>
          <t>KARLSKRONA</t>
        </is>
      </c>
      <c r="G112" t="n">
        <v>0.7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55903-2021</t>
        </is>
      </c>
      <c r="B113" s="1" t="n">
        <v>44476</v>
      </c>
      <c r="C113" s="1" t="n">
        <v>46100</v>
      </c>
      <c r="D113" t="inlineStr">
        <is>
          <t>BLEKINGE LÄN</t>
        </is>
      </c>
      <c r="E113" t="inlineStr">
        <is>
          <t>KARLSKRONA</t>
        </is>
      </c>
      <c r="G113" t="n">
        <v>0.9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65618-2021</t>
        </is>
      </c>
      <c r="B114" s="1" t="n">
        <v>44516.53758101852</v>
      </c>
      <c r="C114" s="1" t="n">
        <v>46100</v>
      </c>
      <c r="D114" t="inlineStr">
        <is>
          <t>BLEKINGE LÄN</t>
        </is>
      </c>
      <c r="E114" t="inlineStr">
        <is>
          <t>KARLSKRONA</t>
        </is>
      </c>
      <c r="G114" t="n">
        <v>0.6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33518-2021</t>
        </is>
      </c>
      <c r="B115" s="1" t="n">
        <v>44377.74945601852</v>
      </c>
      <c r="C115" s="1" t="n">
        <v>46100</v>
      </c>
      <c r="D115" t="inlineStr">
        <is>
          <t>BLEKINGE LÄN</t>
        </is>
      </c>
      <c r="E115" t="inlineStr">
        <is>
          <t>KARLSKRONA</t>
        </is>
      </c>
      <c r="G115" t="n">
        <v>3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10338-2022</t>
        </is>
      </c>
      <c r="B116" s="1" t="n">
        <v>44623</v>
      </c>
      <c r="C116" s="1" t="n">
        <v>46100</v>
      </c>
      <c r="D116" t="inlineStr">
        <is>
          <t>BLEKINGE LÄN</t>
        </is>
      </c>
      <c r="E116" t="inlineStr">
        <is>
          <t>KARLSKRONA</t>
        </is>
      </c>
      <c r="G116" t="n">
        <v>8.300000000000001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45615-2021</t>
        </is>
      </c>
      <c r="B117" s="1" t="n">
        <v>44440</v>
      </c>
      <c r="C117" s="1" t="n">
        <v>46100</v>
      </c>
      <c r="D117" t="inlineStr">
        <is>
          <t>BLEKINGE LÄN</t>
        </is>
      </c>
      <c r="E117" t="inlineStr">
        <is>
          <t>KARLSKRONA</t>
        </is>
      </c>
      <c r="F117" t="inlineStr">
        <is>
          <t>Kommuner</t>
        </is>
      </c>
      <c r="G117" t="n">
        <v>5.2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50974-2021</t>
        </is>
      </c>
      <c r="B118" s="1" t="n">
        <v>44460.67511574074</v>
      </c>
      <c r="C118" s="1" t="n">
        <v>46100</v>
      </c>
      <c r="D118" t="inlineStr">
        <is>
          <t>BLEKINGE LÄN</t>
        </is>
      </c>
      <c r="E118" t="inlineStr">
        <is>
          <t>KARLSKRONA</t>
        </is>
      </c>
      <c r="G118" t="n">
        <v>2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57730-2021</t>
        </is>
      </c>
      <c r="B119" s="1" t="n">
        <v>44484.50790509259</v>
      </c>
      <c r="C119" s="1" t="n">
        <v>46100</v>
      </c>
      <c r="D119" t="inlineStr">
        <is>
          <t>BLEKINGE LÄN</t>
        </is>
      </c>
      <c r="E119" t="inlineStr">
        <is>
          <t>KARLSKRONA</t>
        </is>
      </c>
      <c r="G119" t="n">
        <v>1.5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18074-2021</t>
        </is>
      </c>
      <c r="B120" s="1" t="n">
        <v>44302.44891203703</v>
      </c>
      <c r="C120" s="1" t="n">
        <v>46100</v>
      </c>
      <c r="D120" t="inlineStr">
        <is>
          <t>BLEKINGE LÄN</t>
        </is>
      </c>
      <c r="E120" t="inlineStr">
        <is>
          <t>KARLSKRONA</t>
        </is>
      </c>
      <c r="G120" t="n">
        <v>0.5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21847-2021</t>
        </is>
      </c>
      <c r="B121" s="1" t="n">
        <v>44322</v>
      </c>
      <c r="C121" s="1" t="n">
        <v>46100</v>
      </c>
      <c r="D121" t="inlineStr">
        <is>
          <t>BLEKINGE LÄN</t>
        </is>
      </c>
      <c r="E121" t="inlineStr">
        <is>
          <t>KARLSKRONA</t>
        </is>
      </c>
      <c r="G121" t="n">
        <v>1.1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23154-2022</t>
        </is>
      </c>
      <c r="B122" s="1" t="n">
        <v>44719.63167824074</v>
      </c>
      <c r="C122" s="1" t="n">
        <v>46100</v>
      </c>
      <c r="D122" t="inlineStr">
        <is>
          <t>BLEKINGE LÄN</t>
        </is>
      </c>
      <c r="E122" t="inlineStr">
        <is>
          <t>KARLSKRONA</t>
        </is>
      </c>
      <c r="G122" t="n">
        <v>5.9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16968-2021</t>
        </is>
      </c>
      <c r="B123" s="1" t="n">
        <v>44295.57456018519</v>
      </c>
      <c r="C123" s="1" t="n">
        <v>46100</v>
      </c>
      <c r="D123" t="inlineStr">
        <is>
          <t>BLEKINGE LÄN</t>
        </is>
      </c>
      <c r="E123" t="inlineStr">
        <is>
          <t>KARLSKRONA</t>
        </is>
      </c>
      <c r="G123" t="n">
        <v>6.6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41200-2022</t>
        </is>
      </c>
      <c r="B124" s="1" t="n">
        <v>44825.96707175926</v>
      </c>
      <c r="C124" s="1" t="n">
        <v>46100</v>
      </c>
      <c r="D124" t="inlineStr">
        <is>
          <t>BLEKINGE LÄN</t>
        </is>
      </c>
      <c r="E124" t="inlineStr">
        <is>
          <t>KARLSKRONA</t>
        </is>
      </c>
      <c r="G124" t="n">
        <v>0.6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10922-2022</t>
        </is>
      </c>
      <c r="B125" s="1" t="n">
        <v>44627.93427083334</v>
      </c>
      <c r="C125" s="1" t="n">
        <v>46100</v>
      </c>
      <c r="D125" t="inlineStr">
        <is>
          <t>BLEKINGE LÄN</t>
        </is>
      </c>
      <c r="E125" t="inlineStr">
        <is>
          <t>KARLSKRONA</t>
        </is>
      </c>
      <c r="G125" t="n">
        <v>1.8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11761-2022</t>
        </is>
      </c>
      <c r="B126" s="1" t="n">
        <v>44634.57651620371</v>
      </c>
      <c r="C126" s="1" t="n">
        <v>46100</v>
      </c>
      <c r="D126" t="inlineStr">
        <is>
          <t>BLEKINGE LÄN</t>
        </is>
      </c>
      <c r="E126" t="inlineStr">
        <is>
          <t>KARLSKRONA</t>
        </is>
      </c>
      <c r="G126" t="n">
        <v>0.5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43570-2022</t>
        </is>
      </c>
      <c r="B127" s="1" t="n">
        <v>44837.44972222222</v>
      </c>
      <c r="C127" s="1" t="n">
        <v>46100</v>
      </c>
      <c r="D127" t="inlineStr">
        <is>
          <t>BLEKINGE LÄN</t>
        </is>
      </c>
      <c r="E127" t="inlineStr">
        <is>
          <t>KARLSKRONA</t>
        </is>
      </c>
      <c r="G127" t="n">
        <v>0.9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46435-2022</t>
        </is>
      </c>
      <c r="B128" s="1" t="n">
        <v>44847</v>
      </c>
      <c r="C128" s="1" t="n">
        <v>46100</v>
      </c>
      <c r="D128" t="inlineStr">
        <is>
          <t>BLEKINGE LÄN</t>
        </is>
      </c>
      <c r="E128" t="inlineStr">
        <is>
          <t>KARLSKRONA</t>
        </is>
      </c>
      <c r="G128" t="n">
        <v>0.9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21484-2022</t>
        </is>
      </c>
      <c r="B129" s="1" t="n">
        <v>44706</v>
      </c>
      <c r="C129" s="1" t="n">
        <v>46100</v>
      </c>
      <c r="D129" t="inlineStr">
        <is>
          <t>BLEKINGE LÄN</t>
        </is>
      </c>
      <c r="E129" t="inlineStr">
        <is>
          <t>KARLSKRONA</t>
        </is>
      </c>
      <c r="G129" t="n">
        <v>4.1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5714-2022</t>
        </is>
      </c>
      <c r="B130" s="1" t="n">
        <v>44596</v>
      </c>
      <c r="C130" s="1" t="n">
        <v>46100</v>
      </c>
      <c r="D130" t="inlineStr">
        <is>
          <t>BLEKINGE LÄN</t>
        </is>
      </c>
      <c r="E130" t="inlineStr">
        <is>
          <t>KARLSKRONA</t>
        </is>
      </c>
      <c r="G130" t="n">
        <v>0.5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25469-2021</t>
        </is>
      </c>
      <c r="B131" s="1" t="n">
        <v>44342</v>
      </c>
      <c r="C131" s="1" t="n">
        <v>46100</v>
      </c>
      <c r="D131" t="inlineStr">
        <is>
          <t>BLEKINGE LÄN</t>
        </is>
      </c>
      <c r="E131" t="inlineStr">
        <is>
          <t>KARLSKRONA</t>
        </is>
      </c>
      <c r="G131" t="n">
        <v>1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36667-2022</t>
        </is>
      </c>
      <c r="B132" s="1" t="n">
        <v>44804.88839120371</v>
      </c>
      <c r="C132" s="1" t="n">
        <v>46100</v>
      </c>
      <c r="D132" t="inlineStr">
        <is>
          <t>BLEKINGE LÄN</t>
        </is>
      </c>
      <c r="E132" t="inlineStr">
        <is>
          <t>KARLSKRONA</t>
        </is>
      </c>
      <c r="G132" t="n">
        <v>0.1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15874-2021</t>
        </is>
      </c>
      <c r="B133" s="1" t="n">
        <v>44286.89717592593</v>
      </c>
      <c r="C133" s="1" t="n">
        <v>46100</v>
      </c>
      <c r="D133" t="inlineStr">
        <is>
          <t>BLEKINGE LÄN</t>
        </is>
      </c>
      <c r="E133" t="inlineStr">
        <is>
          <t>KARLSKRONA</t>
        </is>
      </c>
      <c r="G133" t="n">
        <v>3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45212-2021</t>
        </is>
      </c>
      <c r="B134" s="1" t="n">
        <v>44439.56229166667</v>
      </c>
      <c r="C134" s="1" t="n">
        <v>46100</v>
      </c>
      <c r="D134" t="inlineStr">
        <is>
          <t>BLEKINGE LÄN</t>
        </is>
      </c>
      <c r="E134" t="inlineStr">
        <is>
          <t>KARLSKRONA</t>
        </is>
      </c>
      <c r="G134" t="n">
        <v>3.6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8834-2022</t>
        </is>
      </c>
      <c r="B135" s="1" t="n">
        <v>44614.48950231481</v>
      </c>
      <c r="C135" s="1" t="n">
        <v>46100</v>
      </c>
      <c r="D135" t="inlineStr">
        <is>
          <t>BLEKINGE LÄN</t>
        </is>
      </c>
      <c r="E135" t="inlineStr">
        <is>
          <t>KARLSKRONA</t>
        </is>
      </c>
      <c r="G135" t="n">
        <v>1.3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71518-2021</t>
        </is>
      </c>
      <c r="B136" s="1" t="n">
        <v>44540.59521990741</v>
      </c>
      <c r="C136" s="1" t="n">
        <v>46100</v>
      </c>
      <c r="D136" t="inlineStr">
        <is>
          <t>BLEKINGE LÄN</t>
        </is>
      </c>
      <c r="E136" t="inlineStr">
        <is>
          <t>KARLSKRONA</t>
        </is>
      </c>
      <c r="G136" t="n">
        <v>0.7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7874-2022</t>
        </is>
      </c>
      <c r="B137" s="1" t="n">
        <v>44608</v>
      </c>
      <c r="C137" s="1" t="n">
        <v>46100</v>
      </c>
      <c r="D137" t="inlineStr">
        <is>
          <t>BLEKINGE LÄN</t>
        </is>
      </c>
      <c r="E137" t="inlineStr">
        <is>
          <t>KARLSKRONA</t>
        </is>
      </c>
      <c r="G137" t="n">
        <v>1.7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2391-2022</t>
        </is>
      </c>
      <c r="B138" s="1" t="n">
        <v>44579</v>
      </c>
      <c r="C138" s="1" t="n">
        <v>46100</v>
      </c>
      <c r="D138" t="inlineStr">
        <is>
          <t>BLEKINGE LÄN</t>
        </is>
      </c>
      <c r="E138" t="inlineStr">
        <is>
          <t>KARLSKRONA</t>
        </is>
      </c>
      <c r="G138" t="n">
        <v>1.5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37577-2021</t>
        </is>
      </c>
      <c r="B139" s="1" t="n">
        <v>44399.59900462963</v>
      </c>
      <c r="C139" s="1" t="n">
        <v>46100</v>
      </c>
      <c r="D139" t="inlineStr">
        <is>
          <t>BLEKINGE LÄN</t>
        </is>
      </c>
      <c r="E139" t="inlineStr">
        <is>
          <t>KARLSKRONA</t>
        </is>
      </c>
      <c r="G139" t="n">
        <v>1.5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28408-2021</t>
        </is>
      </c>
      <c r="B140" s="1" t="n">
        <v>44356.48402777778</v>
      </c>
      <c r="C140" s="1" t="n">
        <v>46100</v>
      </c>
      <c r="D140" t="inlineStr">
        <is>
          <t>BLEKINGE LÄN</t>
        </is>
      </c>
      <c r="E140" t="inlineStr">
        <is>
          <t>KARLSKRONA</t>
        </is>
      </c>
      <c r="G140" t="n">
        <v>0.9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14954-2022</t>
        </is>
      </c>
      <c r="B141" s="1" t="n">
        <v>44657</v>
      </c>
      <c r="C141" s="1" t="n">
        <v>46100</v>
      </c>
      <c r="D141" t="inlineStr">
        <is>
          <t>BLEKINGE LÄN</t>
        </is>
      </c>
      <c r="E141" t="inlineStr">
        <is>
          <t>KARLSKRONA</t>
        </is>
      </c>
      <c r="G141" t="n">
        <v>0.5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49388-2022</t>
        </is>
      </c>
      <c r="B142" s="1" t="n">
        <v>44858</v>
      </c>
      <c r="C142" s="1" t="n">
        <v>46100</v>
      </c>
      <c r="D142" t="inlineStr">
        <is>
          <t>BLEKINGE LÄN</t>
        </is>
      </c>
      <c r="E142" t="inlineStr">
        <is>
          <t>KARLSKRONA</t>
        </is>
      </c>
      <c r="G142" t="n">
        <v>2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52832-2022</t>
        </is>
      </c>
      <c r="B143" s="1" t="n">
        <v>44875.45777777778</v>
      </c>
      <c r="C143" s="1" t="n">
        <v>46100</v>
      </c>
      <c r="D143" t="inlineStr">
        <is>
          <t>BLEKINGE LÄN</t>
        </is>
      </c>
      <c r="E143" t="inlineStr">
        <is>
          <t>KARLSKRONA</t>
        </is>
      </c>
      <c r="G143" t="n">
        <v>0.5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30976-2021</t>
        </is>
      </c>
      <c r="B144" s="1" t="n">
        <v>44365</v>
      </c>
      <c r="C144" s="1" t="n">
        <v>46100</v>
      </c>
      <c r="D144" t="inlineStr">
        <is>
          <t>BLEKINGE LÄN</t>
        </is>
      </c>
      <c r="E144" t="inlineStr">
        <is>
          <t>KARLSKRONA</t>
        </is>
      </c>
      <c r="G144" t="n">
        <v>1.7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16960-2021</t>
        </is>
      </c>
      <c r="B145" s="1" t="n">
        <v>44295.56783564815</v>
      </c>
      <c r="C145" s="1" t="n">
        <v>46100</v>
      </c>
      <c r="D145" t="inlineStr">
        <is>
          <t>BLEKINGE LÄN</t>
        </is>
      </c>
      <c r="E145" t="inlineStr">
        <is>
          <t>KARLSKRONA</t>
        </is>
      </c>
      <c r="G145" t="n">
        <v>4.6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18465-2021</t>
        </is>
      </c>
      <c r="B146" s="1" t="n">
        <v>44305</v>
      </c>
      <c r="C146" s="1" t="n">
        <v>46100</v>
      </c>
      <c r="D146" t="inlineStr">
        <is>
          <t>BLEKINGE LÄN</t>
        </is>
      </c>
      <c r="E146" t="inlineStr">
        <is>
          <t>KARLSKRONA</t>
        </is>
      </c>
      <c r="G146" t="n">
        <v>0.6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55190-2021</t>
        </is>
      </c>
      <c r="B147" s="1" t="n">
        <v>44475.35071759259</v>
      </c>
      <c r="C147" s="1" t="n">
        <v>46100</v>
      </c>
      <c r="D147" t="inlineStr">
        <is>
          <t>BLEKINGE LÄN</t>
        </is>
      </c>
      <c r="E147" t="inlineStr">
        <is>
          <t>KARLSKRONA</t>
        </is>
      </c>
      <c r="G147" t="n">
        <v>4.7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15360-2024</t>
        </is>
      </c>
      <c r="B148" s="1" t="n">
        <v>45400.9021412037</v>
      </c>
      <c r="C148" s="1" t="n">
        <v>46100</v>
      </c>
      <c r="D148" t="inlineStr">
        <is>
          <t>BLEKINGE LÄN</t>
        </is>
      </c>
      <c r="E148" t="inlineStr">
        <is>
          <t>KARLSKRONA</t>
        </is>
      </c>
      <c r="G148" t="n">
        <v>1.5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17627-2023</t>
        </is>
      </c>
      <c r="B149" s="1" t="n">
        <v>45035</v>
      </c>
      <c r="C149" s="1" t="n">
        <v>46100</v>
      </c>
      <c r="D149" t="inlineStr">
        <is>
          <t>BLEKINGE LÄN</t>
        </is>
      </c>
      <c r="E149" t="inlineStr">
        <is>
          <t>KARLSKRONA</t>
        </is>
      </c>
      <c r="G149" t="n">
        <v>3.5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67540-2021</t>
        </is>
      </c>
      <c r="B150" s="1" t="n">
        <v>44524.55496527778</v>
      </c>
      <c r="C150" s="1" t="n">
        <v>46100</v>
      </c>
      <c r="D150" t="inlineStr">
        <is>
          <t>BLEKINGE LÄN</t>
        </is>
      </c>
      <c r="E150" t="inlineStr">
        <is>
          <t>KARLSKRONA</t>
        </is>
      </c>
      <c r="G150" t="n">
        <v>0.7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37505-2022</t>
        </is>
      </c>
      <c r="B151" s="1" t="n">
        <v>44809.58320601852</v>
      </c>
      <c r="C151" s="1" t="n">
        <v>46100</v>
      </c>
      <c r="D151" t="inlineStr">
        <is>
          <t>BLEKINGE LÄN</t>
        </is>
      </c>
      <c r="E151" t="inlineStr">
        <is>
          <t>KARLSKRONA</t>
        </is>
      </c>
      <c r="F151" t="inlineStr">
        <is>
          <t>Kommuner</t>
        </is>
      </c>
      <c r="G151" t="n">
        <v>4.9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24155-2024</t>
        </is>
      </c>
      <c r="B152" s="1" t="n">
        <v>45456.68532407407</v>
      </c>
      <c r="C152" s="1" t="n">
        <v>46100</v>
      </c>
      <c r="D152" t="inlineStr">
        <is>
          <t>BLEKINGE LÄN</t>
        </is>
      </c>
      <c r="E152" t="inlineStr">
        <is>
          <t>KARLSKRONA</t>
        </is>
      </c>
      <c r="G152" t="n">
        <v>2.5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15189-2021</t>
        </is>
      </c>
      <c r="B153" s="1" t="n">
        <v>44284</v>
      </c>
      <c r="C153" s="1" t="n">
        <v>46100</v>
      </c>
      <c r="D153" t="inlineStr">
        <is>
          <t>BLEKINGE LÄN</t>
        </is>
      </c>
      <c r="E153" t="inlineStr">
        <is>
          <t>KARLSKRONA</t>
        </is>
      </c>
      <c r="G153" t="n">
        <v>1.3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18140-2021</t>
        </is>
      </c>
      <c r="B154" s="1" t="n">
        <v>44302</v>
      </c>
      <c r="C154" s="1" t="n">
        <v>46100</v>
      </c>
      <c r="D154" t="inlineStr">
        <is>
          <t>BLEKINGE LÄN</t>
        </is>
      </c>
      <c r="E154" t="inlineStr">
        <is>
          <t>KARLSKRONA</t>
        </is>
      </c>
      <c r="G154" t="n">
        <v>0.9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59839-2021</t>
        </is>
      </c>
      <c r="B155" s="1" t="n">
        <v>44494.57087962963</v>
      </c>
      <c r="C155" s="1" t="n">
        <v>46100</v>
      </c>
      <c r="D155" t="inlineStr">
        <is>
          <t>BLEKINGE LÄN</t>
        </is>
      </c>
      <c r="E155" t="inlineStr">
        <is>
          <t>KARLSKRONA</t>
        </is>
      </c>
      <c r="G155" t="n">
        <v>1.3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18656-2022</t>
        </is>
      </c>
      <c r="B156" s="1" t="n">
        <v>44687</v>
      </c>
      <c r="C156" s="1" t="n">
        <v>46100</v>
      </c>
      <c r="D156" t="inlineStr">
        <is>
          <t>BLEKINGE LÄN</t>
        </is>
      </c>
      <c r="E156" t="inlineStr">
        <is>
          <t>KARLSKRONA</t>
        </is>
      </c>
      <c r="G156" t="n">
        <v>0.3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20152-2022</t>
        </is>
      </c>
      <c r="B157" s="1" t="n">
        <v>44698</v>
      </c>
      <c r="C157" s="1" t="n">
        <v>46100</v>
      </c>
      <c r="D157" t="inlineStr">
        <is>
          <t>BLEKINGE LÄN</t>
        </is>
      </c>
      <c r="E157" t="inlineStr">
        <is>
          <t>KARLSKRONA</t>
        </is>
      </c>
      <c r="G157" t="n">
        <v>0.7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71792-2021</t>
        </is>
      </c>
      <c r="B158" s="1" t="n">
        <v>44543.56502314815</v>
      </c>
      <c r="C158" s="1" t="n">
        <v>46100</v>
      </c>
      <c r="D158" t="inlineStr">
        <is>
          <t>BLEKINGE LÄN</t>
        </is>
      </c>
      <c r="E158" t="inlineStr">
        <is>
          <t>KARLSKRONA</t>
        </is>
      </c>
      <c r="G158" t="n">
        <v>1.9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55057-2022</t>
        </is>
      </c>
      <c r="B159" s="1" t="n">
        <v>44886.58100694444</v>
      </c>
      <c r="C159" s="1" t="n">
        <v>46100</v>
      </c>
      <c r="D159" t="inlineStr">
        <is>
          <t>BLEKINGE LÄN</t>
        </is>
      </c>
      <c r="E159" t="inlineStr">
        <is>
          <t>KARLSKRONA</t>
        </is>
      </c>
      <c r="G159" t="n">
        <v>16.8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52697-2021</t>
        </is>
      </c>
      <c r="B160" s="1" t="n">
        <v>44466.88909722222</v>
      </c>
      <c r="C160" s="1" t="n">
        <v>46100</v>
      </c>
      <c r="D160" t="inlineStr">
        <is>
          <t>BLEKINGE LÄN</t>
        </is>
      </c>
      <c r="E160" t="inlineStr">
        <is>
          <t>KARLSKRONA</t>
        </is>
      </c>
      <c r="G160" t="n">
        <v>1.4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2413-2025</t>
        </is>
      </c>
      <c r="B161" s="1" t="n">
        <v>45674.37481481482</v>
      </c>
      <c r="C161" s="1" t="n">
        <v>46100</v>
      </c>
      <c r="D161" t="inlineStr">
        <is>
          <t>BLEKINGE LÄN</t>
        </is>
      </c>
      <c r="E161" t="inlineStr">
        <is>
          <t>KARLSKRONA</t>
        </is>
      </c>
      <c r="G161" t="n">
        <v>1.8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53045-2021</t>
        </is>
      </c>
      <c r="B162" s="1" t="n">
        <v>44467.70932870371</v>
      </c>
      <c r="C162" s="1" t="n">
        <v>46100</v>
      </c>
      <c r="D162" t="inlineStr">
        <is>
          <t>BLEKINGE LÄN</t>
        </is>
      </c>
      <c r="E162" t="inlineStr">
        <is>
          <t>KARLSKRONA</t>
        </is>
      </c>
      <c r="G162" t="n">
        <v>4.8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3013-2024</t>
        </is>
      </c>
      <c r="B163" s="1" t="n">
        <v>45315.89215277778</v>
      </c>
      <c r="C163" s="1" t="n">
        <v>46100</v>
      </c>
      <c r="D163" t="inlineStr">
        <is>
          <t>BLEKINGE LÄN</t>
        </is>
      </c>
      <c r="E163" t="inlineStr">
        <is>
          <t>KARLSKRONA</t>
        </is>
      </c>
      <c r="G163" t="n">
        <v>3.5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17670-2021</t>
        </is>
      </c>
      <c r="B164" s="1" t="n">
        <v>44300</v>
      </c>
      <c r="C164" s="1" t="n">
        <v>46100</v>
      </c>
      <c r="D164" t="inlineStr">
        <is>
          <t>BLEKINGE LÄN</t>
        </is>
      </c>
      <c r="E164" t="inlineStr">
        <is>
          <t>KARLSKRONA</t>
        </is>
      </c>
      <c r="G164" t="n">
        <v>2.9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21225-2021</t>
        </is>
      </c>
      <c r="B165" s="1" t="n">
        <v>44320.52675925926</v>
      </c>
      <c r="C165" s="1" t="n">
        <v>46100</v>
      </c>
      <c r="D165" t="inlineStr">
        <is>
          <t>BLEKINGE LÄN</t>
        </is>
      </c>
      <c r="E165" t="inlineStr">
        <is>
          <t>KARLSKRONA</t>
        </is>
      </c>
      <c r="G165" t="n">
        <v>0.6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18656-2021</t>
        </is>
      </c>
      <c r="B166" s="1" t="n">
        <v>44306</v>
      </c>
      <c r="C166" s="1" t="n">
        <v>46100</v>
      </c>
      <c r="D166" t="inlineStr">
        <is>
          <t>BLEKINGE LÄN</t>
        </is>
      </c>
      <c r="E166" t="inlineStr">
        <is>
          <t>KARLSKRONA</t>
        </is>
      </c>
      <c r="G166" t="n">
        <v>2.9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9966-2022</t>
        </is>
      </c>
      <c r="B167" s="1" t="n">
        <v>44621</v>
      </c>
      <c r="C167" s="1" t="n">
        <v>46100</v>
      </c>
      <c r="D167" t="inlineStr">
        <is>
          <t>BLEKINGE LÄN</t>
        </is>
      </c>
      <c r="E167" t="inlineStr">
        <is>
          <t>KARLSKRONA</t>
        </is>
      </c>
      <c r="G167" t="n">
        <v>4.9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4806-2022</t>
        </is>
      </c>
      <c r="B168" s="1" t="n">
        <v>44592.6608912037</v>
      </c>
      <c r="C168" s="1" t="n">
        <v>46100</v>
      </c>
      <c r="D168" t="inlineStr">
        <is>
          <t>BLEKINGE LÄN</t>
        </is>
      </c>
      <c r="E168" t="inlineStr">
        <is>
          <t>KARLSKRONA</t>
        </is>
      </c>
      <c r="F168" t="inlineStr">
        <is>
          <t>Kommuner</t>
        </is>
      </c>
      <c r="G168" t="n">
        <v>0.7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48703-2022</t>
        </is>
      </c>
      <c r="B169" s="1" t="n">
        <v>44859.4846412037</v>
      </c>
      <c r="C169" s="1" t="n">
        <v>46100</v>
      </c>
      <c r="D169" t="inlineStr">
        <is>
          <t>BLEKINGE LÄN</t>
        </is>
      </c>
      <c r="E169" t="inlineStr">
        <is>
          <t>KARLSKRONA</t>
        </is>
      </c>
      <c r="G169" t="n">
        <v>0.5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23326-2021</t>
        </is>
      </c>
      <c r="B170" s="1" t="n">
        <v>44333</v>
      </c>
      <c r="C170" s="1" t="n">
        <v>46100</v>
      </c>
      <c r="D170" t="inlineStr">
        <is>
          <t>BLEKINGE LÄN</t>
        </is>
      </c>
      <c r="E170" t="inlineStr">
        <is>
          <t>KARLSKRONA</t>
        </is>
      </c>
      <c r="G170" t="n">
        <v>1.3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24286-2023</t>
        </is>
      </c>
      <c r="B171" s="1" t="n">
        <v>45079</v>
      </c>
      <c r="C171" s="1" t="n">
        <v>46100</v>
      </c>
      <c r="D171" t="inlineStr">
        <is>
          <t>BLEKINGE LÄN</t>
        </is>
      </c>
      <c r="E171" t="inlineStr">
        <is>
          <t>KARLSKRONA</t>
        </is>
      </c>
      <c r="G171" t="n">
        <v>1.6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619-2025</t>
        </is>
      </c>
      <c r="B172" s="1" t="n">
        <v>45664.61196759259</v>
      </c>
      <c r="C172" s="1" t="n">
        <v>46100</v>
      </c>
      <c r="D172" t="inlineStr">
        <is>
          <t>BLEKINGE LÄN</t>
        </is>
      </c>
      <c r="E172" t="inlineStr">
        <is>
          <t>KARLSKRONA</t>
        </is>
      </c>
      <c r="G172" t="n">
        <v>2.3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27474-2022</t>
        </is>
      </c>
      <c r="B173" s="1" t="n">
        <v>44742</v>
      </c>
      <c r="C173" s="1" t="n">
        <v>46100</v>
      </c>
      <c r="D173" t="inlineStr">
        <is>
          <t>BLEKINGE LÄN</t>
        </is>
      </c>
      <c r="E173" t="inlineStr">
        <is>
          <t>KARLSKRONA</t>
        </is>
      </c>
      <c r="G173" t="n">
        <v>2.9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27842-2022</t>
        </is>
      </c>
      <c r="B174" s="1" t="n">
        <v>44743.61866898148</v>
      </c>
      <c r="C174" s="1" t="n">
        <v>46100</v>
      </c>
      <c r="D174" t="inlineStr">
        <is>
          <t>BLEKINGE LÄN</t>
        </is>
      </c>
      <c r="E174" t="inlineStr">
        <is>
          <t>KARLSKRONA</t>
        </is>
      </c>
      <c r="G174" t="n">
        <v>3.6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5649-2024</t>
        </is>
      </c>
      <c r="B175" s="1" t="n">
        <v>45334.6330787037</v>
      </c>
      <c r="C175" s="1" t="n">
        <v>46100</v>
      </c>
      <c r="D175" t="inlineStr">
        <is>
          <t>BLEKINGE LÄN</t>
        </is>
      </c>
      <c r="E175" t="inlineStr">
        <is>
          <t>KARLSKRONA</t>
        </is>
      </c>
      <c r="G175" t="n">
        <v>2.8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59981-2023</t>
        </is>
      </c>
      <c r="B176" s="1" t="n">
        <v>45257.79081018519</v>
      </c>
      <c r="C176" s="1" t="n">
        <v>46100</v>
      </c>
      <c r="D176" t="inlineStr">
        <is>
          <t>BLEKINGE LÄN</t>
        </is>
      </c>
      <c r="E176" t="inlineStr">
        <is>
          <t>KARLSKRONA</t>
        </is>
      </c>
      <c r="G176" t="n">
        <v>0.6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46027-2023</t>
        </is>
      </c>
      <c r="B177" s="1" t="n">
        <v>45196.41784722222</v>
      </c>
      <c r="C177" s="1" t="n">
        <v>46100</v>
      </c>
      <c r="D177" t="inlineStr">
        <is>
          <t>BLEKINGE LÄN</t>
        </is>
      </c>
      <c r="E177" t="inlineStr">
        <is>
          <t>KARLSKRONA</t>
        </is>
      </c>
      <c r="G177" t="n">
        <v>8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59349-2021</t>
        </is>
      </c>
      <c r="B178" s="1" t="n">
        <v>44491.33081018519</v>
      </c>
      <c r="C178" s="1" t="n">
        <v>46100</v>
      </c>
      <c r="D178" t="inlineStr">
        <is>
          <t>BLEKINGE LÄN</t>
        </is>
      </c>
      <c r="E178" t="inlineStr">
        <is>
          <t>KARLSKRONA</t>
        </is>
      </c>
      <c r="G178" t="n">
        <v>1.9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6953-2023</t>
        </is>
      </c>
      <c r="B179" s="1" t="n">
        <v>44967</v>
      </c>
      <c r="C179" s="1" t="n">
        <v>46100</v>
      </c>
      <c r="D179" t="inlineStr">
        <is>
          <t>BLEKINGE LÄN</t>
        </is>
      </c>
      <c r="E179" t="inlineStr">
        <is>
          <t>KARLSKRONA</t>
        </is>
      </c>
      <c r="G179" t="n">
        <v>1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53733-2024</t>
        </is>
      </c>
      <c r="B180" s="1" t="n">
        <v>45615.4612037037</v>
      </c>
      <c r="C180" s="1" t="n">
        <v>46100</v>
      </c>
      <c r="D180" t="inlineStr">
        <is>
          <t>BLEKINGE LÄN</t>
        </is>
      </c>
      <c r="E180" t="inlineStr">
        <is>
          <t>KARLSKRONA</t>
        </is>
      </c>
      <c r="G180" t="n">
        <v>1.2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13289-2023</t>
        </is>
      </c>
      <c r="B181" s="1" t="n">
        <v>45004</v>
      </c>
      <c r="C181" s="1" t="n">
        <v>46100</v>
      </c>
      <c r="D181" t="inlineStr">
        <is>
          <t>BLEKINGE LÄN</t>
        </is>
      </c>
      <c r="E181" t="inlineStr">
        <is>
          <t>KARLSKRONA</t>
        </is>
      </c>
      <c r="G181" t="n">
        <v>2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42335-2023</t>
        </is>
      </c>
      <c r="B182" s="1" t="n">
        <v>45180.4958449074</v>
      </c>
      <c r="C182" s="1" t="n">
        <v>46100</v>
      </c>
      <c r="D182" t="inlineStr">
        <is>
          <t>BLEKINGE LÄN</t>
        </is>
      </c>
      <c r="E182" t="inlineStr">
        <is>
          <t>KARLSKRONA</t>
        </is>
      </c>
      <c r="G182" t="n">
        <v>0.6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34111-2023</t>
        </is>
      </c>
      <c r="B183" s="1" t="n">
        <v>45135.61125</v>
      </c>
      <c r="C183" s="1" t="n">
        <v>46100</v>
      </c>
      <c r="D183" t="inlineStr">
        <is>
          <t>BLEKINGE LÄN</t>
        </is>
      </c>
      <c r="E183" t="inlineStr">
        <is>
          <t>KARLSKRONA</t>
        </is>
      </c>
      <c r="G183" t="n">
        <v>2.6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13380-2024</t>
        </is>
      </c>
      <c r="B184" s="1" t="n">
        <v>45387.38211805555</v>
      </c>
      <c r="C184" s="1" t="n">
        <v>46100</v>
      </c>
      <c r="D184" t="inlineStr">
        <is>
          <t>BLEKINGE LÄN</t>
        </is>
      </c>
      <c r="E184" t="inlineStr">
        <is>
          <t>KARLSKRONA</t>
        </is>
      </c>
      <c r="G184" t="n">
        <v>0.6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12248-2023</t>
        </is>
      </c>
      <c r="B185" s="1" t="n">
        <v>44998</v>
      </c>
      <c r="C185" s="1" t="n">
        <v>46100</v>
      </c>
      <c r="D185" t="inlineStr">
        <is>
          <t>BLEKINGE LÄN</t>
        </is>
      </c>
      <c r="E185" t="inlineStr">
        <is>
          <t>KARLSKRONA</t>
        </is>
      </c>
      <c r="G185" t="n">
        <v>10.5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11024-2024</t>
        </is>
      </c>
      <c r="B186" s="1" t="n">
        <v>45370.63612268519</v>
      </c>
      <c r="C186" s="1" t="n">
        <v>46100</v>
      </c>
      <c r="D186" t="inlineStr">
        <is>
          <t>BLEKINGE LÄN</t>
        </is>
      </c>
      <c r="E186" t="inlineStr">
        <is>
          <t>KARLSKRONA</t>
        </is>
      </c>
      <c r="G186" t="n">
        <v>1.4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14192-2024</t>
        </is>
      </c>
      <c r="B187" s="1" t="n">
        <v>45393.36715277778</v>
      </c>
      <c r="C187" s="1" t="n">
        <v>46100</v>
      </c>
      <c r="D187" t="inlineStr">
        <is>
          <t>BLEKINGE LÄN</t>
        </is>
      </c>
      <c r="E187" t="inlineStr">
        <is>
          <t>KARLSKRONA</t>
        </is>
      </c>
      <c r="G187" t="n">
        <v>2.7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29969-2023</t>
        </is>
      </c>
      <c r="B188" s="1" t="n">
        <v>45108</v>
      </c>
      <c r="C188" s="1" t="n">
        <v>46100</v>
      </c>
      <c r="D188" t="inlineStr">
        <is>
          <t>BLEKINGE LÄN</t>
        </is>
      </c>
      <c r="E188" t="inlineStr">
        <is>
          <t>KARLSKRONA</t>
        </is>
      </c>
      <c r="G188" t="n">
        <v>1.1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35491-2024</t>
        </is>
      </c>
      <c r="B189" s="1" t="n">
        <v>45531.50513888889</v>
      </c>
      <c r="C189" s="1" t="n">
        <v>46100</v>
      </c>
      <c r="D189" t="inlineStr">
        <is>
          <t>BLEKINGE LÄN</t>
        </is>
      </c>
      <c r="E189" t="inlineStr">
        <is>
          <t>KARLSKRONA</t>
        </is>
      </c>
      <c r="G189" t="n">
        <v>3.3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60501-2024</t>
        </is>
      </c>
      <c r="B190" s="1" t="n">
        <v>45643</v>
      </c>
      <c r="C190" s="1" t="n">
        <v>46100</v>
      </c>
      <c r="D190" t="inlineStr">
        <is>
          <t>BLEKINGE LÄN</t>
        </is>
      </c>
      <c r="E190" t="inlineStr">
        <is>
          <t>KARLSKRONA</t>
        </is>
      </c>
      <c r="G190" t="n">
        <v>0.6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30853-2022</t>
        </is>
      </c>
      <c r="B191" s="1" t="n">
        <v>44747</v>
      </c>
      <c r="C191" s="1" t="n">
        <v>46100</v>
      </c>
      <c r="D191" t="inlineStr">
        <is>
          <t>BLEKINGE LÄN</t>
        </is>
      </c>
      <c r="E191" t="inlineStr">
        <is>
          <t>KARLSKRONA</t>
        </is>
      </c>
      <c r="G191" t="n">
        <v>3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29785-2023</t>
        </is>
      </c>
      <c r="B192" s="1" t="n">
        <v>45107</v>
      </c>
      <c r="C192" s="1" t="n">
        <v>46100</v>
      </c>
      <c r="D192" t="inlineStr">
        <is>
          <t>BLEKINGE LÄN</t>
        </is>
      </c>
      <c r="E192" t="inlineStr">
        <is>
          <t>KARLSKRONA</t>
        </is>
      </c>
      <c r="G192" t="n">
        <v>3.5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49034-2022</t>
        </is>
      </c>
      <c r="B193" s="1" t="n">
        <v>44860</v>
      </c>
      <c r="C193" s="1" t="n">
        <v>46100</v>
      </c>
      <c r="D193" t="inlineStr">
        <is>
          <t>BLEKINGE LÄN</t>
        </is>
      </c>
      <c r="E193" t="inlineStr">
        <is>
          <t>KARLSKRONA</t>
        </is>
      </c>
      <c r="G193" t="n">
        <v>2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40219-2023</t>
        </is>
      </c>
      <c r="B194" s="1" t="n">
        <v>45169.45913194444</v>
      </c>
      <c r="C194" s="1" t="n">
        <v>46100</v>
      </c>
      <c r="D194" t="inlineStr">
        <is>
          <t>BLEKINGE LÄN</t>
        </is>
      </c>
      <c r="E194" t="inlineStr">
        <is>
          <t>KARLSKRONA</t>
        </is>
      </c>
      <c r="G194" t="n">
        <v>0.5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56201-2022</t>
        </is>
      </c>
      <c r="B195" s="1" t="n">
        <v>44890</v>
      </c>
      <c r="C195" s="1" t="n">
        <v>46100</v>
      </c>
      <c r="D195" t="inlineStr">
        <is>
          <t>BLEKINGE LÄN</t>
        </is>
      </c>
      <c r="E195" t="inlineStr">
        <is>
          <t>KARLSKRONA</t>
        </is>
      </c>
      <c r="G195" t="n">
        <v>2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52821-2022</t>
        </is>
      </c>
      <c r="B196" s="1" t="n">
        <v>44875</v>
      </c>
      <c r="C196" s="1" t="n">
        <v>46100</v>
      </c>
      <c r="D196" t="inlineStr">
        <is>
          <t>BLEKINGE LÄN</t>
        </is>
      </c>
      <c r="E196" t="inlineStr">
        <is>
          <t>KARLSKRONA</t>
        </is>
      </c>
      <c r="G196" t="n">
        <v>0.5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15505-2021</t>
        </is>
      </c>
      <c r="B197" s="1" t="n">
        <v>44285.50226851852</v>
      </c>
      <c r="C197" s="1" t="n">
        <v>46100</v>
      </c>
      <c r="D197" t="inlineStr">
        <is>
          <t>BLEKINGE LÄN</t>
        </is>
      </c>
      <c r="E197" t="inlineStr">
        <is>
          <t>KARLSKRONA</t>
        </is>
      </c>
      <c r="G197" t="n">
        <v>0.6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26796-2023</t>
        </is>
      </c>
      <c r="B198" s="1" t="n">
        <v>45093.50841435185</v>
      </c>
      <c r="C198" s="1" t="n">
        <v>46100</v>
      </c>
      <c r="D198" t="inlineStr">
        <is>
          <t>BLEKINGE LÄN</t>
        </is>
      </c>
      <c r="E198" t="inlineStr">
        <is>
          <t>KARLSKRONA</t>
        </is>
      </c>
      <c r="G198" t="n">
        <v>3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56442-2021</t>
        </is>
      </c>
      <c r="B199" s="1" t="n">
        <v>44480.49596064815</v>
      </c>
      <c r="C199" s="1" t="n">
        <v>46100</v>
      </c>
      <c r="D199" t="inlineStr">
        <is>
          <t>BLEKINGE LÄN</t>
        </is>
      </c>
      <c r="E199" t="inlineStr">
        <is>
          <t>KARLSKRONA</t>
        </is>
      </c>
      <c r="G199" t="n">
        <v>0.3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27267-2022</t>
        </is>
      </c>
      <c r="B200" s="1" t="n">
        <v>44741</v>
      </c>
      <c r="C200" s="1" t="n">
        <v>46100</v>
      </c>
      <c r="D200" t="inlineStr">
        <is>
          <t>BLEKINGE LÄN</t>
        </is>
      </c>
      <c r="E200" t="inlineStr">
        <is>
          <t>KARLSKRONA</t>
        </is>
      </c>
      <c r="G200" t="n">
        <v>3.5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3115-2023</t>
        </is>
      </c>
      <c r="B201" s="1" t="n">
        <v>44946.48041666667</v>
      </c>
      <c r="C201" s="1" t="n">
        <v>46100</v>
      </c>
      <c r="D201" t="inlineStr">
        <is>
          <t>BLEKINGE LÄN</t>
        </is>
      </c>
      <c r="E201" t="inlineStr">
        <is>
          <t>KARLSKRONA</t>
        </is>
      </c>
      <c r="G201" t="n">
        <v>3.4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2095-2023</t>
        </is>
      </c>
      <c r="B202" s="1" t="n">
        <v>44939.68818287037</v>
      </c>
      <c r="C202" s="1" t="n">
        <v>46100</v>
      </c>
      <c r="D202" t="inlineStr">
        <is>
          <t>BLEKINGE LÄN</t>
        </is>
      </c>
      <c r="E202" t="inlineStr">
        <is>
          <t>KARLSKRONA</t>
        </is>
      </c>
      <c r="G202" t="n">
        <v>2.3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41618-2021</t>
        </is>
      </c>
      <c r="B203" s="1" t="n">
        <v>44425</v>
      </c>
      <c r="C203" s="1" t="n">
        <v>46100</v>
      </c>
      <c r="D203" t="inlineStr">
        <is>
          <t>BLEKINGE LÄN</t>
        </is>
      </c>
      <c r="E203" t="inlineStr">
        <is>
          <t>KARLSKRONA</t>
        </is>
      </c>
      <c r="G203" t="n">
        <v>8.6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20094-2025</t>
        </is>
      </c>
      <c r="B204" s="1" t="n">
        <v>45772</v>
      </c>
      <c r="C204" s="1" t="n">
        <v>46100</v>
      </c>
      <c r="D204" t="inlineStr">
        <is>
          <t>BLEKINGE LÄN</t>
        </is>
      </c>
      <c r="E204" t="inlineStr">
        <is>
          <t>KARLSKRONA</t>
        </is>
      </c>
      <c r="G204" t="n">
        <v>5.7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33855-2023</t>
        </is>
      </c>
      <c r="B205" s="1" t="n">
        <v>45133</v>
      </c>
      <c r="C205" s="1" t="n">
        <v>46100</v>
      </c>
      <c r="D205" t="inlineStr">
        <is>
          <t>BLEKINGE LÄN</t>
        </is>
      </c>
      <c r="E205" t="inlineStr">
        <is>
          <t>KARLSKRONA</t>
        </is>
      </c>
      <c r="G205" t="n">
        <v>7.3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58729-2023</t>
        </is>
      </c>
      <c r="B206" s="1" t="n">
        <v>45251.80934027778</v>
      </c>
      <c r="C206" s="1" t="n">
        <v>46100</v>
      </c>
      <c r="D206" t="inlineStr">
        <is>
          <t>BLEKINGE LÄN</t>
        </is>
      </c>
      <c r="E206" t="inlineStr">
        <is>
          <t>KARLSKRONA</t>
        </is>
      </c>
      <c r="G206" t="n">
        <v>1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45605-2021</t>
        </is>
      </c>
      <c r="B207" s="1" t="n">
        <v>44440</v>
      </c>
      <c r="C207" s="1" t="n">
        <v>46100</v>
      </c>
      <c r="D207" t="inlineStr">
        <is>
          <t>BLEKINGE LÄN</t>
        </is>
      </c>
      <c r="E207" t="inlineStr">
        <is>
          <t>KARLSKRONA</t>
        </is>
      </c>
      <c r="G207" t="n">
        <v>1.1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73356-2021</t>
        </is>
      </c>
      <c r="B208" s="1" t="n">
        <v>44551.40351851852</v>
      </c>
      <c r="C208" s="1" t="n">
        <v>46100</v>
      </c>
      <c r="D208" t="inlineStr">
        <is>
          <t>BLEKINGE LÄN</t>
        </is>
      </c>
      <c r="E208" t="inlineStr">
        <is>
          <t>KARLSKRONA</t>
        </is>
      </c>
      <c r="G208" t="n">
        <v>4.4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52695-2021</t>
        </is>
      </c>
      <c r="B209" s="1" t="n">
        <v>44466</v>
      </c>
      <c r="C209" s="1" t="n">
        <v>46100</v>
      </c>
      <c r="D209" t="inlineStr">
        <is>
          <t>BLEKINGE LÄN</t>
        </is>
      </c>
      <c r="E209" t="inlineStr">
        <is>
          <t>KARLSKRONA</t>
        </is>
      </c>
      <c r="G209" t="n">
        <v>1.5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7875-2022</t>
        </is>
      </c>
      <c r="B210" s="1" t="n">
        <v>44608.61462962963</v>
      </c>
      <c r="C210" s="1" t="n">
        <v>46100</v>
      </c>
      <c r="D210" t="inlineStr">
        <is>
          <t>BLEKINGE LÄN</t>
        </is>
      </c>
      <c r="E210" t="inlineStr">
        <is>
          <t>KARLSKRONA</t>
        </is>
      </c>
      <c r="G210" t="n">
        <v>0.6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11644-2024</t>
        </is>
      </c>
      <c r="B211" s="1" t="n">
        <v>45373.49626157407</v>
      </c>
      <c r="C211" s="1" t="n">
        <v>46100</v>
      </c>
      <c r="D211" t="inlineStr">
        <is>
          <t>BLEKINGE LÄN</t>
        </is>
      </c>
      <c r="E211" t="inlineStr">
        <is>
          <t>KARLSKRONA</t>
        </is>
      </c>
      <c r="G211" t="n">
        <v>2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51218-2024</t>
        </is>
      </c>
      <c r="B212" s="1" t="n">
        <v>45602</v>
      </c>
      <c r="C212" s="1" t="n">
        <v>46100</v>
      </c>
      <c r="D212" t="inlineStr">
        <is>
          <t>BLEKINGE LÄN</t>
        </is>
      </c>
      <c r="E212" t="inlineStr">
        <is>
          <t>KARLSKRONA</t>
        </is>
      </c>
      <c r="G212" t="n">
        <v>2.1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16639-2022</t>
        </is>
      </c>
      <c r="B213" s="1" t="n">
        <v>44672.62571759259</v>
      </c>
      <c r="C213" s="1" t="n">
        <v>46100</v>
      </c>
      <c r="D213" t="inlineStr">
        <is>
          <t>BLEKINGE LÄN</t>
        </is>
      </c>
      <c r="E213" t="inlineStr">
        <is>
          <t>KARLSKRONA</t>
        </is>
      </c>
      <c r="G213" t="n">
        <v>1.7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57996-2024</t>
        </is>
      </c>
      <c r="B214" s="1" t="n">
        <v>45631</v>
      </c>
      <c r="C214" s="1" t="n">
        <v>46100</v>
      </c>
      <c r="D214" t="inlineStr">
        <is>
          <t>BLEKINGE LÄN</t>
        </is>
      </c>
      <c r="E214" t="inlineStr">
        <is>
          <t>KARLSKRONA</t>
        </is>
      </c>
      <c r="G214" t="n">
        <v>5.2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19645-2023</t>
        </is>
      </c>
      <c r="B215" s="1" t="n">
        <v>45051.33702546296</v>
      </c>
      <c r="C215" s="1" t="n">
        <v>46100</v>
      </c>
      <c r="D215" t="inlineStr">
        <is>
          <t>BLEKINGE LÄN</t>
        </is>
      </c>
      <c r="E215" t="inlineStr">
        <is>
          <t>KARLSKRONA</t>
        </is>
      </c>
      <c r="G215" t="n">
        <v>2.3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26490-2023</t>
        </is>
      </c>
      <c r="B216" s="1" t="n">
        <v>45092</v>
      </c>
      <c r="C216" s="1" t="n">
        <v>46100</v>
      </c>
      <c r="D216" t="inlineStr">
        <is>
          <t>BLEKINGE LÄN</t>
        </is>
      </c>
      <c r="E216" t="inlineStr">
        <is>
          <t>KARLSKRONA</t>
        </is>
      </c>
      <c r="G216" t="n">
        <v>10.8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5651-2024</t>
        </is>
      </c>
      <c r="B217" s="1" t="n">
        <v>45334.63445601852</v>
      </c>
      <c r="C217" s="1" t="n">
        <v>46100</v>
      </c>
      <c r="D217" t="inlineStr">
        <is>
          <t>BLEKINGE LÄN</t>
        </is>
      </c>
      <c r="E217" t="inlineStr">
        <is>
          <t>KARLSKRONA</t>
        </is>
      </c>
      <c r="G217" t="n">
        <v>2.2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9281-2024</t>
        </is>
      </c>
      <c r="B218" s="1" t="n">
        <v>45358.64158564815</v>
      </c>
      <c r="C218" s="1" t="n">
        <v>46100</v>
      </c>
      <c r="D218" t="inlineStr">
        <is>
          <t>BLEKINGE LÄN</t>
        </is>
      </c>
      <c r="E218" t="inlineStr">
        <is>
          <t>KARLSKRONA</t>
        </is>
      </c>
      <c r="G218" t="n">
        <v>1.3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15791-2021</t>
        </is>
      </c>
      <c r="B219" s="1" t="n">
        <v>44286</v>
      </c>
      <c r="C219" s="1" t="n">
        <v>46100</v>
      </c>
      <c r="D219" t="inlineStr">
        <is>
          <t>BLEKINGE LÄN</t>
        </is>
      </c>
      <c r="E219" t="inlineStr">
        <is>
          <t>KARLSKRONA</t>
        </is>
      </c>
      <c r="G219" t="n">
        <v>0.5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62512-2021</t>
        </is>
      </c>
      <c r="B220" s="1" t="n">
        <v>44503.58373842593</v>
      </c>
      <c r="C220" s="1" t="n">
        <v>46100</v>
      </c>
      <c r="D220" t="inlineStr">
        <is>
          <t>BLEKINGE LÄN</t>
        </is>
      </c>
      <c r="E220" t="inlineStr">
        <is>
          <t>KARLSKRONA</t>
        </is>
      </c>
      <c r="G220" t="n">
        <v>0.7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24474-2024</t>
        </is>
      </c>
      <c r="B221" s="1" t="n">
        <v>45458.75857638889</v>
      </c>
      <c r="C221" s="1" t="n">
        <v>46100</v>
      </c>
      <c r="D221" t="inlineStr">
        <is>
          <t>BLEKINGE LÄN</t>
        </is>
      </c>
      <c r="E221" t="inlineStr">
        <is>
          <t>KARLSKRONA</t>
        </is>
      </c>
      <c r="G221" t="n">
        <v>0.7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33854-2023</t>
        </is>
      </c>
      <c r="B222" s="1" t="n">
        <v>45133</v>
      </c>
      <c r="C222" s="1" t="n">
        <v>46100</v>
      </c>
      <c r="D222" t="inlineStr">
        <is>
          <t>BLEKINGE LÄN</t>
        </is>
      </c>
      <c r="E222" t="inlineStr">
        <is>
          <t>KARLSKRONA</t>
        </is>
      </c>
      <c r="G222" t="n">
        <v>1.8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22012-2022</t>
        </is>
      </c>
      <c r="B223" s="1" t="n">
        <v>44711</v>
      </c>
      <c r="C223" s="1" t="n">
        <v>46100</v>
      </c>
      <c r="D223" t="inlineStr">
        <is>
          <t>BLEKINGE LÄN</t>
        </is>
      </c>
      <c r="E223" t="inlineStr">
        <is>
          <t>KARLSKRONA</t>
        </is>
      </c>
      <c r="G223" t="n">
        <v>0.7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26572-2023</t>
        </is>
      </c>
      <c r="B224" s="1" t="n">
        <v>45092.64113425926</v>
      </c>
      <c r="C224" s="1" t="n">
        <v>46100</v>
      </c>
      <c r="D224" t="inlineStr">
        <is>
          <t>BLEKINGE LÄN</t>
        </is>
      </c>
      <c r="E224" t="inlineStr">
        <is>
          <t>KARLSKRONA</t>
        </is>
      </c>
      <c r="G224" t="n">
        <v>1.8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53552-2022</t>
        </is>
      </c>
      <c r="B225" s="1" t="n">
        <v>44874</v>
      </c>
      <c r="C225" s="1" t="n">
        <v>46100</v>
      </c>
      <c r="D225" t="inlineStr">
        <is>
          <t>BLEKINGE LÄN</t>
        </is>
      </c>
      <c r="E225" t="inlineStr">
        <is>
          <t>KARLSKRONA</t>
        </is>
      </c>
      <c r="G225" t="n">
        <v>1.5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15241-2023</t>
        </is>
      </c>
      <c r="B226" s="1" t="n">
        <v>45019</v>
      </c>
      <c r="C226" s="1" t="n">
        <v>46100</v>
      </c>
      <c r="D226" t="inlineStr">
        <is>
          <t>BLEKINGE LÄN</t>
        </is>
      </c>
      <c r="E226" t="inlineStr">
        <is>
          <t>KARLSKRONA</t>
        </is>
      </c>
      <c r="G226" t="n">
        <v>1.4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7352-2025</t>
        </is>
      </c>
      <c r="B227" s="1" t="n">
        <v>45703.81983796296</v>
      </c>
      <c r="C227" s="1" t="n">
        <v>46100</v>
      </c>
      <c r="D227" t="inlineStr">
        <is>
          <t>BLEKINGE LÄN</t>
        </is>
      </c>
      <c r="E227" t="inlineStr">
        <is>
          <t>KARLSKRONA</t>
        </is>
      </c>
      <c r="G227" t="n">
        <v>6.7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16077-2025</t>
        </is>
      </c>
      <c r="B228" s="1" t="n">
        <v>45749.69665509259</v>
      </c>
      <c r="C228" s="1" t="n">
        <v>46100</v>
      </c>
      <c r="D228" t="inlineStr">
        <is>
          <t>BLEKINGE LÄN</t>
        </is>
      </c>
      <c r="E228" t="inlineStr">
        <is>
          <t>KARLSKRONA</t>
        </is>
      </c>
      <c r="G228" t="n">
        <v>2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49941-2023</t>
        </is>
      </c>
      <c r="B229" s="1" t="n">
        <v>45215.35577546297</v>
      </c>
      <c r="C229" s="1" t="n">
        <v>46100</v>
      </c>
      <c r="D229" t="inlineStr">
        <is>
          <t>BLEKINGE LÄN</t>
        </is>
      </c>
      <c r="E229" t="inlineStr">
        <is>
          <t>KARLSKRONA</t>
        </is>
      </c>
      <c r="G229" t="n">
        <v>1.7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1601-2023</t>
        </is>
      </c>
      <c r="B230" s="1" t="n">
        <v>44937.66680555556</v>
      </c>
      <c r="C230" s="1" t="n">
        <v>46100</v>
      </c>
      <c r="D230" t="inlineStr">
        <is>
          <t>BLEKINGE LÄN</t>
        </is>
      </c>
      <c r="E230" t="inlineStr">
        <is>
          <t>KARLSKRONA</t>
        </is>
      </c>
      <c r="G230" t="n">
        <v>0.6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42430-2023</t>
        </is>
      </c>
      <c r="B231" s="1" t="n">
        <v>45180.62233796297</v>
      </c>
      <c r="C231" s="1" t="n">
        <v>46100</v>
      </c>
      <c r="D231" t="inlineStr">
        <is>
          <t>BLEKINGE LÄN</t>
        </is>
      </c>
      <c r="E231" t="inlineStr">
        <is>
          <t>KARLSKRONA</t>
        </is>
      </c>
      <c r="G231" t="n">
        <v>0.8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39228-2023</t>
        </is>
      </c>
      <c r="B232" s="1" t="n">
        <v>45166</v>
      </c>
      <c r="C232" s="1" t="n">
        <v>46100</v>
      </c>
      <c r="D232" t="inlineStr">
        <is>
          <t>BLEKINGE LÄN</t>
        </is>
      </c>
      <c r="E232" t="inlineStr">
        <is>
          <t>KARLSKRONA</t>
        </is>
      </c>
      <c r="G232" t="n">
        <v>12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39236-2023</t>
        </is>
      </c>
      <c r="B233" s="1" t="n">
        <v>45166</v>
      </c>
      <c r="C233" s="1" t="n">
        <v>46100</v>
      </c>
      <c r="D233" t="inlineStr">
        <is>
          <t>BLEKINGE LÄN</t>
        </is>
      </c>
      <c r="E233" t="inlineStr">
        <is>
          <t>KARLSKRONA</t>
        </is>
      </c>
      <c r="G233" t="n">
        <v>1.9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39273-2023</t>
        </is>
      </c>
      <c r="B234" s="1" t="n">
        <v>45166.49883101852</v>
      </c>
      <c r="C234" s="1" t="n">
        <v>46100</v>
      </c>
      <c r="D234" t="inlineStr">
        <is>
          <t>BLEKINGE LÄN</t>
        </is>
      </c>
      <c r="E234" t="inlineStr">
        <is>
          <t>KARLSKRONA</t>
        </is>
      </c>
      <c r="G234" t="n">
        <v>3.8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49093-2023</t>
        </is>
      </c>
      <c r="B235" s="1" t="n">
        <v>45210.40899305556</v>
      </c>
      <c r="C235" s="1" t="n">
        <v>46100</v>
      </c>
      <c r="D235" t="inlineStr">
        <is>
          <t>BLEKINGE LÄN</t>
        </is>
      </c>
      <c r="E235" t="inlineStr">
        <is>
          <t>KARLSKRONA</t>
        </is>
      </c>
      <c r="G235" t="n">
        <v>2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24942-2023</t>
        </is>
      </c>
      <c r="B236" s="1" t="n">
        <v>45085</v>
      </c>
      <c r="C236" s="1" t="n">
        <v>46100</v>
      </c>
      <c r="D236" t="inlineStr">
        <is>
          <t>BLEKINGE LÄN</t>
        </is>
      </c>
      <c r="E236" t="inlineStr">
        <is>
          <t>KARLSKRONA</t>
        </is>
      </c>
      <c r="G236" t="n">
        <v>1.4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690-2023</t>
        </is>
      </c>
      <c r="B237" s="1" t="n">
        <v>44930.78150462963</v>
      </c>
      <c r="C237" s="1" t="n">
        <v>46100</v>
      </c>
      <c r="D237" t="inlineStr">
        <is>
          <t>BLEKINGE LÄN</t>
        </is>
      </c>
      <c r="E237" t="inlineStr">
        <is>
          <t>KARLSKRONA</t>
        </is>
      </c>
      <c r="G237" t="n">
        <v>1.5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9745-2024</t>
        </is>
      </c>
      <c r="B238" s="1" t="n">
        <v>45362</v>
      </c>
      <c r="C238" s="1" t="n">
        <v>46100</v>
      </c>
      <c r="D238" t="inlineStr">
        <is>
          <t>BLEKINGE LÄN</t>
        </is>
      </c>
      <c r="E238" t="inlineStr">
        <is>
          <t>KARLSKRONA</t>
        </is>
      </c>
      <c r="G238" t="n">
        <v>0.5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61679-2024</t>
        </is>
      </c>
      <c r="B239" s="1" t="n">
        <v>45647.38805555556</v>
      </c>
      <c r="C239" s="1" t="n">
        <v>46100</v>
      </c>
      <c r="D239" t="inlineStr">
        <is>
          <t>BLEKINGE LÄN</t>
        </is>
      </c>
      <c r="E239" t="inlineStr">
        <is>
          <t>KARLSKRONA</t>
        </is>
      </c>
      <c r="G239" t="n">
        <v>20.2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17552-2024</t>
        </is>
      </c>
      <c r="B240" s="1" t="n">
        <v>45415</v>
      </c>
      <c r="C240" s="1" t="n">
        <v>46100</v>
      </c>
      <c r="D240" t="inlineStr">
        <is>
          <t>BLEKINGE LÄN</t>
        </is>
      </c>
      <c r="E240" t="inlineStr">
        <is>
          <t>KARLSKRONA</t>
        </is>
      </c>
      <c r="G240" t="n">
        <v>1.1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17092-2023</t>
        </is>
      </c>
      <c r="B241" s="1" t="n">
        <v>45034</v>
      </c>
      <c r="C241" s="1" t="n">
        <v>46100</v>
      </c>
      <c r="D241" t="inlineStr">
        <is>
          <t>BLEKINGE LÄN</t>
        </is>
      </c>
      <c r="E241" t="inlineStr">
        <is>
          <t>KARLSKRONA</t>
        </is>
      </c>
      <c r="G241" t="n">
        <v>5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56117-2024</t>
        </is>
      </c>
      <c r="B242" s="1" t="n">
        <v>45624.45537037037</v>
      </c>
      <c r="C242" s="1" t="n">
        <v>46100</v>
      </c>
      <c r="D242" t="inlineStr">
        <is>
          <t>BLEKINGE LÄN</t>
        </is>
      </c>
      <c r="E242" t="inlineStr">
        <is>
          <t>KARLSKRONA</t>
        </is>
      </c>
      <c r="G242" t="n">
        <v>1.2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26277-2023</t>
        </is>
      </c>
      <c r="B243" s="1" t="n">
        <v>45091</v>
      </c>
      <c r="C243" s="1" t="n">
        <v>46100</v>
      </c>
      <c r="D243" t="inlineStr">
        <is>
          <t>BLEKINGE LÄN</t>
        </is>
      </c>
      <c r="E243" t="inlineStr">
        <is>
          <t>KARLSKRONA</t>
        </is>
      </c>
      <c r="G243" t="n">
        <v>2.9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4127-2025</t>
        </is>
      </c>
      <c r="B244" s="1" t="n">
        <v>45685</v>
      </c>
      <c r="C244" s="1" t="n">
        <v>46100</v>
      </c>
      <c r="D244" t="inlineStr">
        <is>
          <t>BLEKINGE LÄN</t>
        </is>
      </c>
      <c r="E244" t="inlineStr">
        <is>
          <t>KARLSKRONA</t>
        </is>
      </c>
      <c r="G244" t="n">
        <v>1.5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37430-2023</t>
        </is>
      </c>
      <c r="B245" s="1" t="n">
        <v>45156.6415162037</v>
      </c>
      <c r="C245" s="1" t="n">
        <v>46100</v>
      </c>
      <c r="D245" t="inlineStr">
        <is>
          <t>BLEKINGE LÄN</t>
        </is>
      </c>
      <c r="E245" t="inlineStr">
        <is>
          <t>KARLSKRONA</t>
        </is>
      </c>
      <c r="G245" t="n">
        <v>1.6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37608-2023</t>
        </is>
      </c>
      <c r="B246" s="1" t="n">
        <v>45159.43704861111</v>
      </c>
      <c r="C246" s="1" t="n">
        <v>46100</v>
      </c>
      <c r="D246" t="inlineStr">
        <is>
          <t>BLEKINGE LÄN</t>
        </is>
      </c>
      <c r="E246" t="inlineStr">
        <is>
          <t>KARLSKRONA</t>
        </is>
      </c>
      <c r="G246" t="n">
        <v>3.4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10112-2023</t>
        </is>
      </c>
      <c r="B247" s="1" t="n">
        <v>44986.33892361111</v>
      </c>
      <c r="C247" s="1" t="n">
        <v>46100</v>
      </c>
      <c r="D247" t="inlineStr">
        <is>
          <t>BLEKINGE LÄN</t>
        </is>
      </c>
      <c r="E247" t="inlineStr">
        <is>
          <t>KARLSKRONA</t>
        </is>
      </c>
      <c r="G247" t="n">
        <v>1.1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51477-2021</t>
        </is>
      </c>
      <c r="B248" s="1" t="n">
        <v>44461</v>
      </c>
      <c r="C248" s="1" t="n">
        <v>46100</v>
      </c>
      <c r="D248" t="inlineStr">
        <is>
          <t>BLEKINGE LÄN</t>
        </is>
      </c>
      <c r="E248" t="inlineStr">
        <is>
          <t>KARLSKRONA</t>
        </is>
      </c>
      <c r="G248" t="n">
        <v>0.5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74237-2021</t>
        </is>
      </c>
      <c r="B249" s="1" t="n">
        <v>44553</v>
      </c>
      <c r="C249" s="1" t="n">
        <v>46100</v>
      </c>
      <c r="D249" t="inlineStr">
        <is>
          <t>BLEKINGE LÄN</t>
        </is>
      </c>
      <c r="E249" t="inlineStr">
        <is>
          <t>KARLSKRONA</t>
        </is>
      </c>
      <c r="G249" t="n">
        <v>3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14415-2023</t>
        </is>
      </c>
      <c r="B250" s="1" t="n">
        <v>45012</v>
      </c>
      <c r="C250" s="1" t="n">
        <v>46100</v>
      </c>
      <c r="D250" t="inlineStr">
        <is>
          <t>BLEKINGE LÄN</t>
        </is>
      </c>
      <c r="E250" t="inlineStr">
        <is>
          <t>KARLSKRONA</t>
        </is>
      </c>
      <c r="G250" t="n">
        <v>1.5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26486-2023</t>
        </is>
      </c>
      <c r="B251" s="1" t="n">
        <v>45092</v>
      </c>
      <c r="C251" s="1" t="n">
        <v>46100</v>
      </c>
      <c r="D251" t="inlineStr">
        <is>
          <t>BLEKINGE LÄN</t>
        </is>
      </c>
      <c r="E251" t="inlineStr">
        <is>
          <t>KARLSKRONA</t>
        </is>
      </c>
      <c r="G251" t="n">
        <v>8.6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19268-2022</t>
        </is>
      </c>
      <c r="B252" s="1" t="n">
        <v>44692.459375</v>
      </c>
      <c r="C252" s="1" t="n">
        <v>46100</v>
      </c>
      <c r="D252" t="inlineStr">
        <is>
          <t>BLEKINGE LÄN</t>
        </is>
      </c>
      <c r="E252" t="inlineStr">
        <is>
          <t>KARLSKRONA</t>
        </is>
      </c>
      <c r="G252" t="n">
        <v>1.6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45503-2024</t>
        </is>
      </c>
      <c r="B253" s="1" t="n">
        <v>45578.38111111111</v>
      </c>
      <c r="C253" s="1" t="n">
        <v>46100</v>
      </c>
      <c r="D253" t="inlineStr">
        <is>
          <t>BLEKINGE LÄN</t>
        </is>
      </c>
      <c r="E253" t="inlineStr">
        <is>
          <t>KARLSKRONA</t>
        </is>
      </c>
      <c r="G253" t="n">
        <v>2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34949-2023</t>
        </is>
      </c>
      <c r="B254" s="1" t="n">
        <v>45142</v>
      </c>
      <c r="C254" s="1" t="n">
        <v>46100</v>
      </c>
      <c r="D254" t="inlineStr">
        <is>
          <t>BLEKINGE LÄN</t>
        </is>
      </c>
      <c r="E254" t="inlineStr">
        <is>
          <t>KARLSKRONA</t>
        </is>
      </c>
      <c r="G254" t="n">
        <v>0.6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46712-2023</t>
        </is>
      </c>
      <c r="B255" s="1" t="n">
        <v>45198.56633101852</v>
      </c>
      <c r="C255" s="1" t="n">
        <v>46100</v>
      </c>
      <c r="D255" t="inlineStr">
        <is>
          <t>BLEKINGE LÄN</t>
        </is>
      </c>
      <c r="E255" t="inlineStr">
        <is>
          <t>KARLSKRONA</t>
        </is>
      </c>
      <c r="G255" t="n">
        <v>3.6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13922-2025</t>
        </is>
      </c>
      <c r="B256" s="1" t="n">
        <v>45737.66008101852</v>
      </c>
      <c r="C256" s="1" t="n">
        <v>46100</v>
      </c>
      <c r="D256" t="inlineStr">
        <is>
          <t>BLEKINGE LÄN</t>
        </is>
      </c>
      <c r="E256" t="inlineStr">
        <is>
          <t>KARLSKRONA</t>
        </is>
      </c>
      <c r="G256" t="n">
        <v>2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37627-2023</t>
        </is>
      </c>
      <c r="B257" s="1" t="n">
        <v>45159</v>
      </c>
      <c r="C257" s="1" t="n">
        <v>46100</v>
      </c>
      <c r="D257" t="inlineStr">
        <is>
          <t>BLEKINGE LÄN</t>
        </is>
      </c>
      <c r="E257" t="inlineStr">
        <is>
          <t>KARLSKRONA</t>
        </is>
      </c>
      <c r="G257" t="n">
        <v>0.7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12059-2025</t>
        </is>
      </c>
      <c r="B258" s="1" t="n">
        <v>45728.69217592593</v>
      </c>
      <c r="C258" s="1" t="n">
        <v>46100</v>
      </c>
      <c r="D258" t="inlineStr">
        <is>
          <t>BLEKINGE LÄN</t>
        </is>
      </c>
      <c r="E258" t="inlineStr">
        <is>
          <t>KARLSKRONA</t>
        </is>
      </c>
      <c r="G258" t="n">
        <v>0.5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38815-2025</t>
        </is>
      </c>
      <c r="B259" s="1" t="n">
        <v>45887.49454861111</v>
      </c>
      <c r="C259" s="1" t="n">
        <v>46100</v>
      </c>
      <c r="D259" t="inlineStr">
        <is>
          <t>BLEKINGE LÄN</t>
        </is>
      </c>
      <c r="E259" t="inlineStr">
        <is>
          <t>KARLSKRONA</t>
        </is>
      </c>
      <c r="G259" t="n">
        <v>1.3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23707-2024</t>
        </is>
      </c>
      <c r="B260" s="1" t="n">
        <v>45454.72009259259</v>
      </c>
      <c r="C260" s="1" t="n">
        <v>46100</v>
      </c>
      <c r="D260" t="inlineStr">
        <is>
          <t>BLEKINGE LÄN</t>
        </is>
      </c>
      <c r="E260" t="inlineStr">
        <is>
          <t>KARLSKRONA</t>
        </is>
      </c>
      <c r="G260" t="n">
        <v>4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46774-2022</t>
        </is>
      </c>
      <c r="B261" s="1" t="n">
        <v>44847</v>
      </c>
      <c r="C261" s="1" t="n">
        <v>46100</v>
      </c>
      <c r="D261" t="inlineStr">
        <is>
          <t>BLEKINGE LÄN</t>
        </is>
      </c>
      <c r="E261" t="inlineStr">
        <is>
          <t>KARLSKRONA</t>
        </is>
      </c>
      <c r="G261" t="n">
        <v>2.4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13194-2023</t>
        </is>
      </c>
      <c r="B262" s="1" t="n">
        <v>45002.62616898148</v>
      </c>
      <c r="C262" s="1" t="n">
        <v>46100</v>
      </c>
      <c r="D262" t="inlineStr">
        <is>
          <t>BLEKINGE LÄN</t>
        </is>
      </c>
      <c r="E262" t="inlineStr">
        <is>
          <t>KARLSKRONA</t>
        </is>
      </c>
      <c r="G262" t="n">
        <v>3.1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16284-2023</t>
        </is>
      </c>
      <c r="B263" s="1" t="n">
        <v>45028.55498842592</v>
      </c>
      <c r="C263" s="1" t="n">
        <v>46100</v>
      </c>
      <c r="D263" t="inlineStr">
        <is>
          <t>BLEKINGE LÄN</t>
        </is>
      </c>
      <c r="E263" t="inlineStr">
        <is>
          <t>KARLSKRONA</t>
        </is>
      </c>
      <c r="G263" t="n">
        <v>1.1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40324-2023</t>
        </is>
      </c>
      <c r="B264" s="1" t="n">
        <v>45169.6147337963</v>
      </c>
      <c r="C264" s="1" t="n">
        <v>46100</v>
      </c>
      <c r="D264" t="inlineStr">
        <is>
          <t>BLEKINGE LÄN</t>
        </is>
      </c>
      <c r="E264" t="inlineStr">
        <is>
          <t>KARLSKRONA</t>
        </is>
      </c>
      <c r="G264" t="n">
        <v>2.7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9763-2022</t>
        </is>
      </c>
      <c r="B265" s="1" t="n">
        <v>44619</v>
      </c>
      <c r="C265" s="1" t="n">
        <v>46100</v>
      </c>
      <c r="D265" t="inlineStr">
        <is>
          <t>BLEKINGE LÄN</t>
        </is>
      </c>
      <c r="E265" t="inlineStr">
        <is>
          <t>KARLSKRONA</t>
        </is>
      </c>
      <c r="G265" t="n">
        <v>11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7889-2024</t>
        </is>
      </c>
      <c r="B266" s="1" t="n">
        <v>45350.39834490741</v>
      </c>
      <c r="C266" s="1" t="n">
        <v>46100</v>
      </c>
      <c r="D266" t="inlineStr">
        <is>
          <t>BLEKINGE LÄN</t>
        </is>
      </c>
      <c r="E266" t="inlineStr">
        <is>
          <t>KARLSKRONA</t>
        </is>
      </c>
      <c r="G266" t="n">
        <v>1.6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72273-2021</t>
        </is>
      </c>
      <c r="B267" s="1" t="n">
        <v>44545.34950231481</v>
      </c>
      <c r="C267" s="1" t="n">
        <v>46100</v>
      </c>
      <c r="D267" t="inlineStr">
        <is>
          <t>BLEKINGE LÄN</t>
        </is>
      </c>
      <c r="E267" t="inlineStr">
        <is>
          <t>KARLSKRONA</t>
        </is>
      </c>
      <c r="G267" t="n">
        <v>2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18413-2021</t>
        </is>
      </c>
      <c r="B268" s="1" t="n">
        <v>44305</v>
      </c>
      <c r="C268" s="1" t="n">
        <v>46100</v>
      </c>
      <c r="D268" t="inlineStr">
        <is>
          <t>BLEKINGE LÄN</t>
        </is>
      </c>
      <c r="E268" t="inlineStr">
        <is>
          <t>KARLSKRONA</t>
        </is>
      </c>
      <c r="G268" t="n">
        <v>3.1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46279-2022</t>
        </is>
      </c>
      <c r="B269" s="1" t="n">
        <v>44847.67832175926</v>
      </c>
      <c r="C269" s="1" t="n">
        <v>46100</v>
      </c>
      <c r="D269" t="inlineStr">
        <is>
          <t>BLEKINGE LÄN</t>
        </is>
      </c>
      <c r="E269" t="inlineStr">
        <is>
          <t>KARLSKRONA</t>
        </is>
      </c>
      <c r="G269" t="n">
        <v>2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17273-2023</t>
        </is>
      </c>
      <c r="B270" s="1" t="n">
        <v>45035.43935185186</v>
      </c>
      <c r="C270" s="1" t="n">
        <v>46100</v>
      </c>
      <c r="D270" t="inlineStr">
        <is>
          <t>BLEKINGE LÄN</t>
        </is>
      </c>
      <c r="E270" t="inlineStr">
        <is>
          <t>KARLSKRONA</t>
        </is>
      </c>
      <c r="G270" t="n">
        <v>1.7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17275-2023</t>
        </is>
      </c>
      <c r="B271" s="1" t="n">
        <v>45035.44078703703</v>
      </c>
      <c r="C271" s="1" t="n">
        <v>46100</v>
      </c>
      <c r="D271" t="inlineStr">
        <is>
          <t>BLEKINGE LÄN</t>
        </is>
      </c>
      <c r="E271" t="inlineStr">
        <is>
          <t>KARLSKRONA</t>
        </is>
      </c>
      <c r="G271" t="n">
        <v>0.5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44407-2024</t>
        </is>
      </c>
      <c r="B272" s="1" t="n">
        <v>45573.72731481482</v>
      </c>
      <c r="C272" s="1" t="n">
        <v>46100</v>
      </c>
      <c r="D272" t="inlineStr">
        <is>
          <t>BLEKINGE LÄN</t>
        </is>
      </c>
      <c r="E272" t="inlineStr">
        <is>
          <t>KARLSKRONA</t>
        </is>
      </c>
      <c r="G272" t="n">
        <v>0.5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38783-2025</t>
        </is>
      </c>
      <c r="B273" s="1" t="n">
        <v>45887.44629629629</v>
      </c>
      <c r="C273" s="1" t="n">
        <v>46100</v>
      </c>
      <c r="D273" t="inlineStr">
        <is>
          <t>BLEKINGE LÄN</t>
        </is>
      </c>
      <c r="E273" t="inlineStr">
        <is>
          <t>KARLSKRONA</t>
        </is>
      </c>
      <c r="G273" t="n">
        <v>1.3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38793-2025</t>
        </is>
      </c>
      <c r="B274" s="1" t="n">
        <v>45887.44987268518</v>
      </c>
      <c r="C274" s="1" t="n">
        <v>46100</v>
      </c>
      <c r="D274" t="inlineStr">
        <is>
          <t>BLEKINGE LÄN</t>
        </is>
      </c>
      <c r="E274" t="inlineStr">
        <is>
          <t>KARLSKRONA</t>
        </is>
      </c>
      <c r="G274" t="n">
        <v>1.9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27481-2022</t>
        </is>
      </c>
      <c r="B275" s="1" t="n">
        <v>44742</v>
      </c>
      <c r="C275" s="1" t="n">
        <v>46100</v>
      </c>
      <c r="D275" t="inlineStr">
        <is>
          <t>BLEKINGE LÄN</t>
        </is>
      </c>
      <c r="E275" t="inlineStr">
        <is>
          <t>KARLSKRONA</t>
        </is>
      </c>
      <c r="G275" t="n">
        <v>1.7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22000-2021</t>
        </is>
      </c>
      <c r="B276" s="1" t="n">
        <v>44323</v>
      </c>
      <c r="C276" s="1" t="n">
        <v>46100</v>
      </c>
      <c r="D276" t="inlineStr">
        <is>
          <t>BLEKINGE LÄN</t>
        </is>
      </c>
      <c r="E276" t="inlineStr">
        <is>
          <t>KARLSKRONA</t>
        </is>
      </c>
      <c r="G276" t="n">
        <v>0.6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7014-2024</t>
        </is>
      </c>
      <c r="B277" s="1" t="n">
        <v>45343.56496527778</v>
      </c>
      <c r="C277" s="1" t="n">
        <v>46100</v>
      </c>
      <c r="D277" t="inlineStr">
        <is>
          <t>BLEKINGE LÄN</t>
        </is>
      </c>
      <c r="E277" t="inlineStr">
        <is>
          <t>KARLSKRONA</t>
        </is>
      </c>
      <c r="G277" t="n">
        <v>0.4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18124-2025</t>
        </is>
      </c>
      <c r="B278" s="1" t="n">
        <v>45761</v>
      </c>
      <c r="C278" s="1" t="n">
        <v>46100</v>
      </c>
      <c r="D278" t="inlineStr">
        <is>
          <t>BLEKINGE LÄN</t>
        </is>
      </c>
      <c r="E278" t="inlineStr">
        <is>
          <t>KARLSKRONA</t>
        </is>
      </c>
      <c r="G278" t="n">
        <v>4.6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29367-2023</t>
        </is>
      </c>
      <c r="B279" s="1" t="n">
        <v>45106.36304398148</v>
      </c>
      <c r="C279" s="1" t="n">
        <v>46100</v>
      </c>
      <c r="D279" t="inlineStr">
        <is>
          <t>BLEKINGE LÄN</t>
        </is>
      </c>
      <c r="E279" t="inlineStr">
        <is>
          <t>KARLSKRONA</t>
        </is>
      </c>
      <c r="G279" t="n">
        <v>3.3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65798-2021</t>
        </is>
      </c>
      <c r="B280" s="1" t="n">
        <v>44517</v>
      </c>
      <c r="C280" s="1" t="n">
        <v>46100</v>
      </c>
      <c r="D280" t="inlineStr">
        <is>
          <t>BLEKINGE LÄN</t>
        </is>
      </c>
      <c r="E280" t="inlineStr">
        <is>
          <t>KARLSKRONA</t>
        </is>
      </c>
      <c r="G280" t="n">
        <v>2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12860-2023</t>
        </is>
      </c>
      <c r="B281" s="1" t="n">
        <v>45001.50576388889</v>
      </c>
      <c r="C281" s="1" t="n">
        <v>46100</v>
      </c>
      <c r="D281" t="inlineStr">
        <is>
          <t>BLEKINGE LÄN</t>
        </is>
      </c>
      <c r="E281" t="inlineStr">
        <is>
          <t>KARLSKRONA</t>
        </is>
      </c>
      <c r="G281" t="n">
        <v>8.199999999999999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16532-2023</t>
        </is>
      </c>
      <c r="B282" s="1" t="n">
        <v>45027</v>
      </c>
      <c r="C282" s="1" t="n">
        <v>46100</v>
      </c>
      <c r="D282" t="inlineStr">
        <is>
          <t>BLEKINGE LÄN</t>
        </is>
      </c>
      <c r="E282" t="inlineStr">
        <is>
          <t>KARLSKRONA</t>
        </is>
      </c>
      <c r="G282" t="n">
        <v>1.7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6980-2023</t>
        </is>
      </c>
      <c r="B283" s="1" t="n">
        <v>44967</v>
      </c>
      <c r="C283" s="1" t="n">
        <v>46100</v>
      </c>
      <c r="D283" t="inlineStr">
        <is>
          <t>BLEKINGE LÄN</t>
        </is>
      </c>
      <c r="E283" t="inlineStr">
        <is>
          <t>KARLSKRONA</t>
        </is>
      </c>
      <c r="G283" t="n">
        <v>3.4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45573-2023</t>
        </is>
      </c>
      <c r="B284" s="1" t="n">
        <v>45194.60591435185</v>
      </c>
      <c r="C284" s="1" t="n">
        <v>46100</v>
      </c>
      <c r="D284" t="inlineStr">
        <is>
          <t>BLEKINGE LÄN</t>
        </is>
      </c>
      <c r="E284" t="inlineStr">
        <is>
          <t>KARLSKRONA</t>
        </is>
      </c>
      <c r="G284" t="n">
        <v>3.8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23098-2023</t>
        </is>
      </c>
      <c r="B285" s="1" t="n">
        <v>45075.43525462963</v>
      </c>
      <c r="C285" s="1" t="n">
        <v>46100</v>
      </c>
      <c r="D285" t="inlineStr">
        <is>
          <t>BLEKINGE LÄN</t>
        </is>
      </c>
      <c r="E285" t="inlineStr">
        <is>
          <t>KARLSKRONA</t>
        </is>
      </c>
      <c r="G285" t="n">
        <v>7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10998-2022</t>
        </is>
      </c>
      <c r="B286" s="1" t="n">
        <v>44628</v>
      </c>
      <c r="C286" s="1" t="n">
        <v>46100</v>
      </c>
      <c r="D286" t="inlineStr">
        <is>
          <t>BLEKINGE LÄN</t>
        </is>
      </c>
      <c r="E286" t="inlineStr">
        <is>
          <t>KARLSKRONA</t>
        </is>
      </c>
      <c r="G286" t="n">
        <v>1.5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26605-2023</t>
        </is>
      </c>
      <c r="B287" s="1" t="n">
        <v>45092.68969907407</v>
      </c>
      <c r="C287" s="1" t="n">
        <v>46100</v>
      </c>
      <c r="D287" t="inlineStr">
        <is>
          <t>BLEKINGE LÄN</t>
        </is>
      </c>
      <c r="E287" t="inlineStr">
        <is>
          <t>KARLSKRONA</t>
        </is>
      </c>
      <c r="G287" t="n">
        <v>1.1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61861-2023</t>
        </is>
      </c>
      <c r="B288" s="1" t="n">
        <v>45266.39518518518</v>
      </c>
      <c r="C288" s="1" t="n">
        <v>46100</v>
      </c>
      <c r="D288" t="inlineStr">
        <is>
          <t>BLEKINGE LÄN</t>
        </is>
      </c>
      <c r="E288" t="inlineStr">
        <is>
          <t>KARLSKRONA</t>
        </is>
      </c>
      <c r="G288" t="n">
        <v>1.2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25450-2023</t>
        </is>
      </c>
      <c r="B289" s="1" t="n">
        <v>45089.43696759259</v>
      </c>
      <c r="C289" s="1" t="n">
        <v>46100</v>
      </c>
      <c r="D289" t="inlineStr">
        <is>
          <t>BLEKINGE LÄN</t>
        </is>
      </c>
      <c r="E289" t="inlineStr">
        <is>
          <t>KARLSKRONA</t>
        </is>
      </c>
      <c r="G289" t="n">
        <v>1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25455-2023</t>
        </is>
      </c>
      <c r="B290" s="1" t="n">
        <v>45089</v>
      </c>
      <c r="C290" s="1" t="n">
        <v>46100</v>
      </c>
      <c r="D290" t="inlineStr">
        <is>
          <t>BLEKINGE LÄN</t>
        </is>
      </c>
      <c r="E290" t="inlineStr">
        <is>
          <t>KARLSKRONA</t>
        </is>
      </c>
      <c r="G290" t="n">
        <v>1.8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15460-2023</t>
        </is>
      </c>
      <c r="B291" s="1" t="n">
        <v>45020</v>
      </c>
      <c r="C291" s="1" t="n">
        <v>46100</v>
      </c>
      <c r="D291" t="inlineStr">
        <is>
          <t>BLEKINGE LÄN</t>
        </is>
      </c>
      <c r="E291" t="inlineStr">
        <is>
          <t>KARLSKRONA</t>
        </is>
      </c>
      <c r="G291" t="n">
        <v>0.4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4793-2022</t>
        </is>
      </c>
      <c r="B292" s="1" t="n">
        <v>44592.63900462963</v>
      </c>
      <c r="C292" s="1" t="n">
        <v>46100</v>
      </c>
      <c r="D292" t="inlineStr">
        <is>
          <t>BLEKINGE LÄN</t>
        </is>
      </c>
      <c r="E292" t="inlineStr">
        <is>
          <t>KARLSKRONA</t>
        </is>
      </c>
      <c r="F292" t="inlineStr">
        <is>
          <t>Kommuner</t>
        </is>
      </c>
      <c r="G292" t="n">
        <v>2.1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38482-2025</t>
        </is>
      </c>
      <c r="B293" s="1" t="n">
        <v>45884.3334837963</v>
      </c>
      <c r="C293" s="1" t="n">
        <v>46100</v>
      </c>
      <c r="D293" t="inlineStr">
        <is>
          <t>BLEKINGE LÄN</t>
        </is>
      </c>
      <c r="E293" t="inlineStr">
        <is>
          <t>KARLSKRONA</t>
        </is>
      </c>
      <c r="G293" t="n">
        <v>1.4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3012-2024</t>
        </is>
      </c>
      <c r="B294" s="1" t="n">
        <v>45315</v>
      </c>
      <c r="C294" s="1" t="n">
        <v>46100</v>
      </c>
      <c r="D294" t="inlineStr">
        <is>
          <t>BLEKINGE LÄN</t>
        </is>
      </c>
      <c r="E294" t="inlineStr">
        <is>
          <t>KARLSKRONA</t>
        </is>
      </c>
      <c r="G294" t="n">
        <v>2.3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38619-2023</t>
        </is>
      </c>
      <c r="B295" s="1" t="n">
        <v>45162</v>
      </c>
      <c r="C295" s="1" t="n">
        <v>46100</v>
      </c>
      <c r="D295" t="inlineStr">
        <is>
          <t>BLEKINGE LÄN</t>
        </is>
      </c>
      <c r="E295" t="inlineStr">
        <is>
          <t>KARLSKRONA</t>
        </is>
      </c>
      <c r="G295" t="n">
        <v>0.7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9410-2025</t>
        </is>
      </c>
      <c r="B296" s="1" t="n">
        <v>45715.38833333334</v>
      </c>
      <c r="C296" s="1" t="n">
        <v>46100</v>
      </c>
      <c r="D296" t="inlineStr">
        <is>
          <t>BLEKINGE LÄN</t>
        </is>
      </c>
      <c r="E296" t="inlineStr">
        <is>
          <t>KARLSKRONA</t>
        </is>
      </c>
      <c r="G296" t="n">
        <v>6.7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12181-2022</t>
        </is>
      </c>
      <c r="B297" s="1" t="n">
        <v>44636.83194444444</v>
      </c>
      <c r="C297" s="1" t="n">
        <v>46100</v>
      </c>
      <c r="D297" t="inlineStr">
        <is>
          <t>BLEKINGE LÄN</t>
        </is>
      </c>
      <c r="E297" t="inlineStr">
        <is>
          <t>KARLSKRONA</t>
        </is>
      </c>
      <c r="G297" t="n">
        <v>0.5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53326-2022</t>
        </is>
      </c>
      <c r="B298" s="1" t="n">
        <v>44879</v>
      </c>
      <c r="C298" s="1" t="n">
        <v>46100</v>
      </c>
      <c r="D298" t="inlineStr">
        <is>
          <t>BLEKINGE LÄN</t>
        </is>
      </c>
      <c r="E298" t="inlineStr">
        <is>
          <t>KARLSKRONA</t>
        </is>
      </c>
      <c r="G298" t="n">
        <v>1.2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2195-2024</t>
        </is>
      </c>
      <c r="B299" s="1" t="n">
        <v>45309.69599537037</v>
      </c>
      <c r="C299" s="1" t="n">
        <v>46100</v>
      </c>
      <c r="D299" t="inlineStr">
        <is>
          <t>BLEKINGE LÄN</t>
        </is>
      </c>
      <c r="E299" t="inlineStr">
        <is>
          <t>KARLSKRONA</t>
        </is>
      </c>
      <c r="G299" t="n">
        <v>8.199999999999999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35807-2023</t>
        </is>
      </c>
      <c r="B300" s="1" t="n">
        <v>45148</v>
      </c>
      <c r="C300" s="1" t="n">
        <v>46100</v>
      </c>
      <c r="D300" t="inlineStr">
        <is>
          <t>BLEKINGE LÄN</t>
        </is>
      </c>
      <c r="E300" t="inlineStr">
        <is>
          <t>KARLSKRONA</t>
        </is>
      </c>
      <c r="G300" t="n">
        <v>1.2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20606-2022</t>
        </is>
      </c>
      <c r="B301" s="1" t="n">
        <v>44700</v>
      </c>
      <c r="C301" s="1" t="n">
        <v>46100</v>
      </c>
      <c r="D301" t="inlineStr">
        <is>
          <t>BLEKINGE LÄN</t>
        </is>
      </c>
      <c r="E301" t="inlineStr">
        <is>
          <t>KARLSKRONA</t>
        </is>
      </c>
      <c r="G301" t="n">
        <v>0.8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2414-2025</t>
        </is>
      </c>
      <c r="B302" s="1" t="n">
        <v>45674.37722222223</v>
      </c>
      <c r="C302" s="1" t="n">
        <v>46100</v>
      </c>
      <c r="D302" t="inlineStr">
        <is>
          <t>BLEKINGE LÄN</t>
        </is>
      </c>
      <c r="E302" t="inlineStr">
        <is>
          <t>KARLSKRONA</t>
        </is>
      </c>
      <c r="G302" t="n">
        <v>0.8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15293-2025</t>
        </is>
      </c>
      <c r="B303" s="1" t="n">
        <v>45744</v>
      </c>
      <c r="C303" s="1" t="n">
        <v>46100</v>
      </c>
      <c r="D303" t="inlineStr">
        <is>
          <t>BLEKINGE LÄN</t>
        </is>
      </c>
      <c r="E303" t="inlineStr">
        <is>
          <t>KARLSKRONA</t>
        </is>
      </c>
      <c r="G303" t="n">
        <v>1.7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44584-2023</t>
        </is>
      </c>
      <c r="B304" s="1" t="n">
        <v>45183</v>
      </c>
      <c r="C304" s="1" t="n">
        <v>46100</v>
      </c>
      <c r="D304" t="inlineStr">
        <is>
          <t>BLEKINGE LÄN</t>
        </is>
      </c>
      <c r="E304" t="inlineStr">
        <is>
          <t>KARLSKRONA</t>
        </is>
      </c>
      <c r="G304" t="n">
        <v>1.4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7066-2022</t>
        </is>
      </c>
      <c r="B305" s="1" t="n">
        <v>44603.56049768518</v>
      </c>
      <c r="C305" s="1" t="n">
        <v>46100</v>
      </c>
      <c r="D305" t="inlineStr">
        <is>
          <t>BLEKINGE LÄN</t>
        </is>
      </c>
      <c r="E305" t="inlineStr">
        <is>
          <t>KARLSKRONA</t>
        </is>
      </c>
      <c r="G305" t="n">
        <v>1.3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52701-2023</t>
        </is>
      </c>
      <c r="B306" s="1" t="n">
        <v>45225.8025</v>
      </c>
      <c r="C306" s="1" t="n">
        <v>46100</v>
      </c>
      <c r="D306" t="inlineStr">
        <is>
          <t>BLEKINGE LÄN</t>
        </is>
      </c>
      <c r="E306" t="inlineStr">
        <is>
          <t>KARLSKRONA</t>
        </is>
      </c>
      <c r="G306" t="n">
        <v>1.2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16288-2023</t>
        </is>
      </c>
      <c r="B307" s="1" t="n">
        <v>45028.55811342593</v>
      </c>
      <c r="C307" s="1" t="n">
        <v>46100</v>
      </c>
      <c r="D307" t="inlineStr">
        <is>
          <t>BLEKINGE LÄN</t>
        </is>
      </c>
      <c r="E307" t="inlineStr">
        <is>
          <t>KARLSKRONA</t>
        </is>
      </c>
      <c r="G307" t="n">
        <v>0.5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57222-2023</t>
        </is>
      </c>
      <c r="B308" s="1" t="n">
        <v>45245.50461805556</v>
      </c>
      <c r="C308" s="1" t="n">
        <v>46100</v>
      </c>
      <c r="D308" t="inlineStr">
        <is>
          <t>BLEKINGE LÄN</t>
        </is>
      </c>
      <c r="E308" t="inlineStr">
        <is>
          <t>KARLSKRONA</t>
        </is>
      </c>
      <c r="G308" t="n">
        <v>2.6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29352-2023</t>
        </is>
      </c>
      <c r="B309" s="1" t="n">
        <v>45106</v>
      </c>
      <c r="C309" s="1" t="n">
        <v>46100</v>
      </c>
      <c r="D309" t="inlineStr">
        <is>
          <t>BLEKINGE LÄN</t>
        </is>
      </c>
      <c r="E309" t="inlineStr">
        <is>
          <t>KARLSKRONA</t>
        </is>
      </c>
      <c r="G309" t="n">
        <v>1.9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14308-2024</t>
        </is>
      </c>
      <c r="B310" s="1" t="n">
        <v>45393.66436342592</v>
      </c>
      <c r="C310" s="1" t="n">
        <v>46100</v>
      </c>
      <c r="D310" t="inlineStr">
        <is>
          <t>BLEKINGE LÄN</t>
        </is>
      </c>
      <c r="E310" t="inlineStr">
        <is>
          <t>KARLSKRONA</t>
        </is>
      </c>
      <c r="G310" t="n">
        <v>6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9306-2022</t>
        </is>
      </c>
      <c r="B311" s="1" t="n">
        <v>44616</v>
      </c>
      <c r="C311" s="1" t="n">
        <v>46100</v>
      </c>
      <c r="D311" t="inlineStr">
        <is>
          <t>BLEKINGE LÄN</t>
        </is>
      </c>
      <c r="E311" t="inlineStr">
        <is>
          <t>KARLSKRONA</t>
        </is>
      </c>
      <c r="G311" t="n">
        <v>4.9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41243-2023</t>
        </is>
      </c>
      <c r="B312" s="1" t="n">
        <v>45174.49248842592</v>
      </c>
      <c r="C312" s="1" t="n">
        <v>46100</v>
      </c>
      <c r="D312" t="inlineStr">
        <is>
          <t>BLEKINGE LÄN</t>
        </is>
      </c>
      <c r="E312" t="inlineStr">
        <is>
          <t>KARLSKRONA</t>
        </is>
      </c>
      <c r="G312" t="n">
        <v>2.8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23072-2023</t>
        </is>
      </c>
      <c r="B313" s="1" t="n">
        <v>45070</v>
      </c>
      <c r="C313" s="1" t="n">
        <v>46100</v>
      </c>
      <c r="D313" t="inlineStr">
        <is>
          <t>BLEKINGE LÄN</t>
        </is>
      </c>
      <c r="E313" t="inlineStr">
        <is>
          <t>KARLSKRONA</t>
        </is>
      </c>
      <c r="G313" t="n">
        <v>1.2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61296-2024</t>
        </is>
      </c>
      <c r="B314" s="1" t="n">
        <v>45645.87954861111</v>
      </c>
      <c r="C314" s="1" t="n">
        <v>46100</v>
      </c>
      <c r="D314" t="inlineStr">
        <is>
          <t>BLEKINGE LÄN</t>
        </is>
      </c>
      <c r="E314" t="inlineStr">
        <is>
          <t>KARLSKRONA</t>
        </is>
      </c>
      <c r="G314" t="n">
        <v>3.4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47260-2024</t>
        </is>
      </c>
      <c r="B315" s="1" t="n">
        <v>45586.77130787037</v>
      </c>
      <c r="C315" s="1" t="n">
        <v>46100</v>
      </c>
      <c r="D315" t="inlineStr">
        <is>
          <t>BLEKINGE LÄN</t>
        </is>
      </c>
      <c r="E315" t="inlineStr">
        <is>
          <t>KARLSKRONA</t>
        </is>
      </c>
      <c r="G315" t="n">
        <v>1.4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15022-2023</t>
        </is>
      </c>
      <c r="B316" s="1" t="n">
        <v>45015</v>
      </c>
      <c r="C316" s="1" t="n">
        <v>46100</v>
      </c>
      <c r="D316" t="inlineStr">
        <is>
          <t>BLEKINGE LÄN</t>
        </is>
      </c>
      <c r="E316" t="inlineStr">
        <is>
          <t>KARLSKRONA</t>
        </is>
      </c>
      <c r="G316" t="n">
        <v>2.5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46035-2024</t>
        </is>
      </c>
      <c r="B317" s="1" t="n">
        <v>45580.72222222222</v>
      </c>
      <c r="C317" s="1" t="n">
        <v>46100</v>
      </c>
      <c r="D317" t="inlineStr">
        <is>
          <t>BLEKINGE LÄN</t>
        </is>
      </c>
      <c r="E317" t="inlineStr">
        <is>
          <t>KARLSKRONA</t>
        </is>
      </c>
      <c r="G317" t="n">
        <v>1.9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50546-2023</t>
        </is>
      </c>
      <c r="B318" s="1" t="n">
        <v>45217</v>
      </c>
      <c r="C318" s="1" t="n">
        <v>46100</v>
      </c>
      <c r="D318" t="inlineStr">
        <is>
          <t>BLEKINGE LÄN</t>
        </is>
      </c>
      <c r="E318" t="inlineStr">
        <is>
          <t>KARLSKRONA</t>
        </is>
      </c>
      <c r="G318" t="n">
        <v>1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8837-2025</t>
        </is>
      </c>
      <c r="B319" s="1" t="n">
        <v>45713</v>
      </c>
      <c r="C319" s="1" t="n">
        <v>46100</v>
      </c>
      <c r="D319" t="inlineStr">
        <is>
          <t>BLEKINGE LÄN</t>
        </is>
      </c>
      <c r="E319" t="inlineStr">
        <is>
          <t>KARLSKRONA</t>
        </is>
      </c>
      <c r="G319" t="n">
        <v>1.1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19150-2022</t>
        </is>
      </c>
      <c r="B320" s="1" t="n">
        <v>44691.63315972222</v>
      </c>
      <c r="C320" s="1" t="n">
        <v>46100</v>
      </c>
      <c r="D320" t="inlineStr">
        <is>
          <t>BLEKINGE LÄN</t>
        </is>
      </c>
      <c r="E320" t="inlineStr">
        <is>
          <t>KARLSKRONA</t>
        </is>
      </c>
      <c r="G320" t="n">
        <v>1.5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49736-2023</t>
        </is>
      </c>
      <c r="B321" s="1" t="n">
        <v>45212</v>
      </c>
      <c r="C321" s="1" t="n">
        <v>46100</v>
      </c>
      <c r="D321" t="inlineStr">
        <is>
          <t>BLEKINGE LÄN</t>
        </is>
      </c>
      <c r="E321" t="inlineStr">
        <is>
          <t>KARLSKRONA</t>
        </is>
      </c>
      <c r="G321" t="n">
        <v>2.8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17820-2023</t>
        </is>
      </c>
      <c r="B322" s="1" t="n">
        <v>45037</v>
      </c>
      <c r="C322" s="1" t="n">
        <v>46100</v>
      </c>
      <c r="D322" t="inlineStr">
        <is>
          <t>BLEKINGE LÄN</t>
        </is>
      </c>
      <c r="E322" t="inlineStr">
        <is>
          <t>KARLSKRONA</t>
        </is>
      </c>
      <c r="G322" t="n">
        <v>0.5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57982-2024</t>
        </is>
      </c>
      <c r="B323" s="1" t="n">
        <v>45631</v>
      </c>
      <c r="C323" s="1" t="n">
        <v>46100</v>
      </c>
      <c r="D323" t="inlineStr">
        <is>
          <t>BLEKINGE LÄN</t>
        </is>
      </c>
      <c r="E323" t="inlineStr">
        <is>
          <t>KARLSKRONA</t>
        </is>
      </c>
      <c r="G323" t="n">
        <v>0.7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4698-2024</t>
        </is>
      </c>
      <c r="B324" s="1" t="n">
        <v>45328</v>
      </c>
      <c r="C324" s="1" t="n">
        <v>46100</v>
      </c>
      <c r="D324" t="inlineStr">
        <is>
          <t>BLEKINGE LÄN</t>
        </is>
      </c>
      <c r="E324" t="inlineStr">
        <is>
          <t>KARLSKRONA</t>
        </is>
      </c>
      <c r="G324" t="n">
        <v>0.7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60922-2024</t>
        </is>
      </c>
      <c r="B325" s="1" t="n">
        <v>45645.35019675926</v>
      </c>
      <c r="C325" s="1" t="n">
        <v>46100</v>
      </c>
      <c r="D325" t="inlineStr">
        <is>
          <t>BLEKINGE LÄN</t>
        </is>
      </c>
      <c r="E325" t="inlineStr">
        <is>
          <t>KARLSKRONA</t>
        </is>
      </c>
      <c r="G325" t="n">
        <v>3.9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26485-2023</t>
        </is>
      </c>
      <c r="B326" s="1" t="n">
        <v>45092</v>
      </c>
      <c r="C326" s="1" t="n">
        <v>46100</v>
      </c>
      <c r="D326" t="inlineStr">
        <is>
          <t>BLEKINGE LÄN</t>
        </is>
      </c>
      <c r="E326" t="inlineStr">
        <is>
          <t>KARLSKRONA</t>
        </is>
      </c>
      <c r="G326" t="n">
        <v>39.4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21486-2022</t>
        </is>
      </c>
      <c r="B327" s="1" t="n">
        <v>44706</v>
      </c>
      <c r="C327" s="1" t="n">
        <v>46100</v>
      </c>
      <c r="D327" t="inlineStr">
        <is>
          <t>BLEKINGE LÄN</t>
        </is>
      </c>
      <c r="E327" t="inlineStr">
        <is>
          <t>KARLSKRONA</t>
        </is>
      </c>
      <c r="G327" t="n">
        <v>3.2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60071-2022</t>
        </is>
      </c>
      <c r="B328" s="1" t="n">
        <v>44909</v>
      </c>
      <c r="C328" s="1" t="n">
        <v>46100</v>
      </c>
      <c r="D328" t="inlineStr">
        <is>
          <t>BLEKINGE LÄN</t>
        </is>
      </c>
      <c r="E328" t="inlineStr">
        <is>
          <t>KARLSKRONA</t>
        </is>
      </c>
      <c r="G328" t="n">
        <v>2.8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40936-2023</t>
        </is>
      </c>
      <c r="B329" s="1" t="n">
        <v>45173.44273148148</v>
      </c>
      <c r="C329" s="1" t="n">
        <v>46100</v>
      </c>
      <c r="D329" t="inlineStr">
        <is>
          <t>BLEKINGE LÄN</t>
        </is>
      </c>
      <c r="E329" t="inlineStr">
        <is>
          <t>KARLSKRONA</t>
        </is>
      </c>
      <c r="G329" t="n">
        <v>0.6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45832-2024</t>
        </is>
      </c>
      <c r="B330" s="1" t="n">
        <v>45579</v>
      </c>
      <c r="C330" s="1" t="n">
        <v>46100</v>
      </c>
      <c r="D330" t="inlineStr">
        <is>
          <t>BLEKINGE LÄN</t>
        </is>
      </c>
      <c r="E330" t="inlineStr">
        <is>
          <t>KARLSKRONA</t>
        </is>
      </c>
      <c r="G330" t="n">
        <v>2.4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6509-2024</t>
        </is>
      </c>
      <c r="B331" s="1" t="n">
        <v>45340</v>
      </c>
      <c r="C331" s="1" t="n">
        <v>46100</v>
      </c>
      <c r="D331" t="inlineStr">
        <is>
          <t>BLEKINGE LÄN</t>
        </is>
      </c>
      <c r="E331" t="inlineStr">
        <is>
          <t>KARLSKRONA</t>
        </is>
      </c>
      <c r="G331" t="n">
        <v>0.8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61749-2022</t>
        </is>
      </c>
      <c r="B332" s="1" t="n">
        <v>44911</v>
      </c>
      <c r="C332" s="1" t="n">
        <v>46100</v>
      </c>
      <c r="D332" t="inlineStr">
        <is>
          <t>BLEKINGE LÄN</t>
        </is>
      </c>
      <c r="E332" t="inlineStr">
        <is>
          <t>KARLSKRONA</t>
        </is>
      </c>
      <c r="G332" t="n">
        <v>14.2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15464-2021</t>
        </is>
      </c>
      <c r="B333" s="1" t="n">
        <v>44285.43282407407</v>
      </c>
      <c r="C333" s="1" t="n">
        <v>46100</v>
      </c>
      <c r="D333" t="inlineStr">
        <is>
          <t>BLEKINGE LÄN</t>
        </is>
      </c>
      <c r="E333" t="inlineStr">
        <is>
          <t>KARLSKRONA</t>
        </is>
      </c>
      <c r="G333" t="n">
        <v>2.3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14559-2023</t>
        </is>
      </c>
      <c r="B334" s="1" t="n">
        <v>45013.44094907407</v>
      </c>
      <c r="C334" s="1" t="n">
        <v>46100</v>
      </c>
      <c r="D334" t="inlineStr">
        <is>
          <t>BLEKINGE LÄN</t>
        </is>
      </c>
      <c r="E334" t="inlineStr">
        <is>
          <t>KARLSKRONA</t>
        </is>
      </c>
      <c r="G334" t="n">
        <v>1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14938-2025</t>
        </is>
      </c>
      <c r="B335" s="1" t="n">
        <v>45743.55949074074</v>
      </c>
      <c r="C335" s="1" t="n">
        <v>46100</v>
      </c>
      <c r="D335" t="inlineStr">
        <is>
          <t>BLEKINGE LÄN</t>
        </is>
      </c>
      <c r="E335" t="inlineStr">
        <is>
          <t>KARLSKRONA</t>
        </is>
      </c>
      <c r="G335" t="n">
        <v>1.4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23410-2023</t>
        </is>
      </c>
      <c r="B336" s="1" t="n">
        <v>45076.50148148148</v>
      </c>
      <c r="C336" s="1" t="n">
        <v>46100</v>
      </c>
      <c r="D336" t="inlineStr">
        <is>
          <t>BLEKINGE LÄN</t>
        </is>
      </c>
      <c r="E336" t="inlineStr">
        <is>
          <t>KARLSKRONA</t>
        </is>
      </c>
      <c r="G336" t="n">
        <v>2.4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36843-2024</t>
        </is>
      </c>
      <c r="B337" s="1" t="n">
        <v>45538</v>
      </c>
      <c r="C337" s="1" t="n">
        <v>46100</v>
      </c>
      <c r="D337" t="inlineStr">
        <is>
          <t>BLEKINGE LÄN</t>
        </is>
      </c>
      <c r="E337" t="inlineStr">
        <is>
          <t>KARLSKRONA</t>
        </is>
      </c>
      <c r="G337" t="n">
        <v>0.5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9407-2025</t>
        </is>
      </c>
      <c r="B338" s="1" t="n">
        <v>45715.38768518518</v>
      </c>
      <c r="C338" s="1" t="n">
        <v>46100</v>
      </c>
      <c r="D338" t="inlineStr">
        <is>
          <t>BLEKINGE LÄN</t>
        </is>
      </c>
      <c r="E338" t="inlineStr">
        <is>
          <t>KARLSKRONA</t>
        </is>
      </c>
      <c r="G338" t="n">
        <v>11.4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29373-2024</t>
        </is>
      </c>
      <c r="B339" s="1" t="n">
        <v>45483</v>
      </c>
      <c r="C339" s="1" t="n">
        <v>46100</v>
      </c>
      <c r="D339" t="inlineStr">
        <is>
          <t>BLEKINGE LÄN</t>
        </is>
      </c>
      <c r="E339" t="inlineStr">
        <is>
          <t>KARLSKRONA</t>
        </is>
      </c>
      <c r="G339" t="n">
        <v>2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14345-2023</t>
        </is>
      </c>
      <c r="B340" s="1" t="n">
        <v>45012</v>
      </c>
      <c r="C340" s="1" t="n">
        <v>46100</v>
      </c>
      <c r="D340" t="inlineStr">
        <is>
          <t>BLEKINGE LÄN</t>
        </is>
      </c>
      <c r="E340" t="inlineStr">
        <is>
          <t>KARLSKRONA</t>
        </is>
      </c>
      <c r="G340" t="n">
        <v>4.4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11676-2025</t>
        </is>
      </c>
      <c r="B341" s="1" t="n">
        <v>45727.53451388889</v>
      </c>
      <c r="C341" s="1" t="n">
        <v>46100</v>
      </c>
      <c r="D341" t="inlineStr">
        <is>
          <t>BLEKINGE LÄN</t>
        </is>
      </c>
      <c r="E341" t="inlineStr">
        <is>
          <t>KARLSKRONA</t>
        </is>
      </c>
      <c r="G341" t="n">
        <v>0.8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16380-2024</t>
        </is>
      </c>
      <c r="B342" s="1" t="n">
        <v>45407.61273148148</v>
      </c>
      <c r="C342" s="1" t="n">
        <v>46100</v>
      </c>
      <c r="D342" t="inlineStr">
        <is>
          <t>BLEKINGE LÄN</t>
        </is>
      </c>
      <c r="E342" t="inlineStr">
        <is>
          <t>KARLSKRONA</t>
        </is>
      </c>
      <c r="G342" t="n">
        <v>4.1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58059-2022</t>
        </is>
      </c>
      <c r="B343" s="1" t="n">
        <v>44900.59222222222</v>
      </c>
      <c r="C343" s="1" t="n">
        <v>46100</v>
      </c>
      <c r="D343" t="inlineStr">
        <is>
          <t>BLEKINGE LÄN</t>
        </is>
      </c>
      <c r="E343" t="inlineStr">
        <is>
          <t>KARLSKRONA</t>
        </is>
      </c>
      <c r="G343" t="n">
        <v>1.5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11639-2025</t>
        </is>
      </c>
      <c r="B344" s="1" t="n">
        <v>45727.46905092592</v>
      </c>
      <c r="C344" s="1" t="n">
        <v>46100</v>
      </c>
      <c r="D344" t="inlineStr">
        <is>
          <t>BLEKINGE LÄN</t>
        </is>
      </c>
      <c r="E344" t="inlineStr">
        <is>
          <t>KARLSKRONA</t>
        </is>
      </c>
      <c r="G344" t="n">
        <v>2.7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5962-2024</t>
        </is>
      </c>
      <c r="B345" s="1" t="n">
        <v>45335</v>
      </c>
      <c r="C345" s="1" t="n">
        <v>46100</v>
      </c>
      <c r="D345" t="inlineStr">
        <is>
          <t>BLEKINGE LÄN</t>
        </is>
      </c>
      <c r="E345" t="inlineStr">
        <is>
          <t>KARLSKRONA</t>
        </is>
      </c>
      <c r="G345" t="n">
        <v>0.5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13395-2025</t>
        </is>
      </c>
      <c r="B346" s="1" t="n">
        <v>45735.7075462963</v>
      </c>
      <c r="C346" s="1" t="n">
        <v>46100</v>
      </c>
      <c r="D346" t="inlineStr">
        <is>
          <t>BLEKINGE LÄN</t>
        </is>
      </c>
      <c r="E346" t="inlineStr">
        <is>
          <t>KARLSKRONA</t>
        </is>
      </c>
      <c r="G346" t="n">
        <v>0.7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30106-2022</t>
        </is>
      </c>
      <c r="B347" s="1" t="n">
        <v>44757</v>
      </c>
      <c r="C347" s="1" t="n">
        <v>46100</v>
      </c>
      <c r="D347" t="inlineStr">
        <is>
          <t>BLEKINGE LÄN</t>
        </is>
      </c>
      <c r="E347" t="inlineStr">
        <is>
          <t>KARLSKRONA</t>
        </is>
      </c>
      <c r="G347" t="n">
        <v>11.2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61882-2023</t>
        </is>
      </c>
      <c r="B348" s="1" t="n">
        <v>45266</v>
      </c>
      <c r="C348" s="1" t="n">
        <v>46100</v>
      </c>
      <c r="D348" t="inlineStr">
        <is>
          <t>BLEKINGE LÄN</t>
        </is>
      </c>
      <c r="E348" t="inlineStr">
        <is>
          <t>KARLSKRONA</t>
        </is>
      </c>
      <c r="G348" t="n">
        <v>1.3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4286-2024</t>
        </is>
      </c>
      <c r="B349" s="1" t="n">
        <v>45324</v>
      </c>
      <c r="C349" s="1" t="n">
        <v>46100</v>
      </c>
      <c r="D349" t="inlineStr">
        <is>
          <t>BLEKINGE LÄN</t>
        </is>
      </c>
      <c r="E349" t="inlineStr">
        <is>
          <t>KARLSKRONA</t>
        </is>
      </c>
      <c r="G349" t="n">
        <v>2.3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698-2023</t>
        </is>
      </c>
      <c r="B350" s="1" t="n">
        <v>44930.83994212963</v>
      </c>
      <c r="C350" s="1" t="n">
        <v>46100</v>
      </c>
      <c r="D350" t="inlineStr">
        <is>
          <t>BLEKINGE LÄN</t>
        </is>
      </c>
      <c r="E350" t="inlineStr">
        <is>
          <t>KARLSKRONA</t>
        </is>
      </c>
      <c r="G350" t="n">
        <v>1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46901-2022</t>
        </is>
      </c>
      <c r="B351" s="1" t="n">
        <v>44851.64682870371</v>
      </c>
      <c r="C351" s="1" t="n">
        <v>46100</v>
      </c>
      <c r="D351" t="inlineStr">
        <is>
          <t>BLEKINGE LÄN</t>
        </is>
      </c>
      <c r="E351" t="inlineStr">
        <is>
          <t>KARLSKRONA</t>
        </is>
      </c>
      <c r="G351" t="n">
        <v>4.4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4919-2022</t>
        </is>
      </c>
      <c r="B352" s="1" t="n">
        <v>44593.45266203704</v>
      </c>
      <c r="C352" s="1" t="n">
        <v>46100</v>
      </c>
      <c r="D352" t="inlineStr">
        <is>
          <t>BLEKINGE LÄN</t>
        </is>
      </c>
      <c r="E352" t="inlineStr">
        <is>
          <t>KARLSKRONA</t>
        </is>
      </c>
      <c r="G352" t="n">
        <v>2.4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7994-2025</t>
        </is>
      </c>
      <c r="B353" s="1" t="n">
        <v>45707</v>
      </c>
      <c r="C353" s="1" t="n">
        <v>46100</v>
      </c>
      <c r="D353" t="inlineStr">
        <is>
          <t>BLEKINGE LÄN</t>
        </is>
      </c>
      <c r="E353" t="inlineStr">
        <is>
          <t>KARLSKRONA</t>
        </is>
      </c>
      <c r="G353" t="n">
        <v>1.3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4800-2024</t>
        </is>
      </c>
      <c r="B354" s="1" t="n">
        <v>45328</v>
      </c>
      <c r="C354" s="1" t="n">
        <v>46100</v>
      </c>
      <c r="D354" t="inlineStr">
        <is>
          <t>BLEKINGE LÄN</t>
        </is>
      </c>
      <c r="E354" t="inlineStr">
        <is>
          <t>KARLSKRONA</t>
        </is>
      </c>
      <c r="G354" t="n">
        <v>1.2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29914-2023</t>
        </is>
      </c>
      <c r="B355" s="1" t="n">
        <v>45107</v>
      </c>
      <c r="C355" s="1" t="n">
        <v>46100</v>
      </c>
      <c r="D355" t="inlineStr">
        <is>
          <t>BLEKINGE LÄN</t>
        </is>
      </c>
      <c r="E355" t="inlineStr">
        <is>
          <t>KARLSKRONA</t>
        </is>
      </c>
      <c r="G355" t="n">
        <v>0.9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30657-2024</t>
        </is>
      </c>
      <c r="B356" s="1" t="n">
        <v>45495.63521990741</v>
      </c>
      <c r="C356" s="1" t="n">
        <v>46100</v>
      </c>
      <c r="D356" t="inlineStr">
        <is>
          <t>BLEKINGE LÄN</t>
        </is>
      </c>
      <c r="E356" t="inlineStr">
        <is>
          <t>KARLSKRONA</t>
        </is>
      </c>
      <c r="G356" t="n">
        <v>0.5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39853-2025</t>
        </is>
      </c>
      <c r="B357" s="1" t="n">
        <v>45891.58806712963</v>
      </c>
      <c r="C357" s="1" t="n">
        <v>46100</v>
      </c>
      <c r="D357" t="inlineStr">
        <is>
          <t>BLEKINGE LÄN</t>
        </is>
      </c>
      <c r="E357" t="inlineStr">
        <is>
          <t>KARLSKRONA</t>
        </is>
      </c>
      <c r="G357" t="n">
        <v>0.9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43820-2024</t>
        </is>
      </c>
      <c r="B358" s="1" t="n">
        <v>45571.82802083333</v>
      </c>
      <c r="C358" s="1" t="n">
        <v>46100</v>
      </c>
      <c r="D358" t="inlineStr">
        <is>
          <t>BLEKINGE LÄN</t>
        </is>
      </c>
      <c r="E358" t="inlineStr">
        <is>
          <t>KARLSKRONA</t>
        </is>
      </c>
      <c r="G358" t="n">
        <v>0.5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42613-2024</t>
        </is>
      </c>
      <c r="B359" s="1" t="n">
        <v>45565.79476851852</v>
      </c>
      <c r="C359" s="1" t="n">
        <v>46100</v>
      </c>
      <c r="D359" t="inlineStr">
        <is>
          <t>BLEKINGE LÄN</t>
        </is>
      </c>
      <c r="E359" t="inlineStr">
        <is>
          <t>KARLSKRONA</t>
        </is>
      </c>
      <c r="G359" t="n">
        <v>0.6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43713-2021</t>
        </is>
      </c>
      <c r="B360" s="1" t="n">
        <v>44433</v>
      </c>
      <c r="C360" s="1" t="n">
        <v>46100</v>
      </c>
      <c r="D360" t="inlineStr">
        <is>
          <t>BLEKINGE LÄN</t>
        </is>
      </c>
      <c r="E360" t="inlineStr">
        <is>
          <t>KARLSKRONA</t>
        </is>
      </c>
      <c r="G360" t="n">
        <v>0.7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23858-2022</t>
        </is>
      </c>
      <c r="B361" s="1" t="n">
        <v>44722.55038194444</v>
      </c>
      <c r="C361" s="1" t="n">
        <v>46100</v>
      </c>
      <c r="D361" t="inlineStr">
        <is>
          <t>BLEKINGE LÄN</t>
        </is>
      </c>
      <c r="E361" t="inlineStr">
        <is>
          <t>KARLSKRONA</t>
        </is>
      </c>
      <c r="G361" t="n">
        <v>1.8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33555-2023</t>
        </is>
      </c>
      <c r="B362" s="1" t="n">
        <v>45118</v>
      </c>
      <c r="C362" s="1" t="n">
        <v>46100</v>
      </c>
      <c r="D362" t="inlineStr">
        <is>
          <t>BLEKINGE LÄN</t>
        </is>
      </c>
      <c r="E362" t="inlineStr">
        <is>
          <t>KARLSKRONA</t>
        </is>
      </c>
      <c r="G362" t="n">
        <v>3.3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28642-2023</t>
        </is>
      </c>
      <c r="B363" s="1" t="n">
        <v>45103</v>
      </c>
      <c r="C363" s="1" t="n">
        <v>46100</v>
      </c>
      <c r="D363" t="inlineStr">
        <is>
          <t>BLEKINGE LÄN</t>
        </is>
      </c>
      <c r="E363" t="inlineStr">
        <is>
          <t>KARLSKRONA</t>
        </is>
      </c>
      <c r="G363" t="n">
        <v>3.8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29365-2023</t>
        </is>
      </c>
      <c r="B364" s="1" t="n">
        <v>45106.36086805556</v>
      </c>
      <c r="C364" s="1" t="n">
        <v>46100</v>
      </c>
      <c r="D364" t="inlineStr">
        <is>
          <t>BLEKINGE LÄN</t>
        </is>
      </c>
      <c r="E364" t="inlineStr">
        <is>
          <t>KARLSKRONA</t>
        </is>
      </c>
      <c r="G364" t="n">
        <v>0.9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58804-2022</t>
        </is>
      </c>
      <c r="B365" s="1" t="n">
        <v>44903.44068287037</v>
      </c>
      <c r="C365" s="1" t="n">
        <v>46100</v>
      </c>
      <c r="D365" t="inlineStr">
        <is>
          <t>BLEKINGE LÄN</t>
        </is>
      </c>
      <c r="E365" t="inlineStr">
        <is>
          <t>KARLSKRONA</t>
        </is>
      </c>
      <c r="G365" t="n">
        <v>7.7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39576-2025</t>
        </is>
      </c>
      <c r="B366" s="1" t="n">
        <v>45890</v>
      </c>
      <c r="C366" s="1" t="n">
        <v>46100</v>
      </c>
      <c r="D366" t="inlineStr">
        <is>
          <t>BLEKINGE LÄN</t>
        </is>
      </c>
      <c r="E366" t="inlineStr">
        <is>
          <t>KARLSKRONA</t>
        </is>
      </c>
      <c r="G366" t="n">
        <v>1.1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36966-2023</t>
        </is>
      </c>
      <c r="B367" s="1" t="n">
        <v>45154.94172453704</v>
      </c>
      <c r="C367" s="1" t="n">
        <v>46100</v>
      </c>
      <c r="D367" t="inlineStr">
        <is>
          <t>BLEKINGE LÄN</t>
        </is>
      </c>
      <c r="E367" t="inlineStr">
        <is>
          <t>KARLSKRONA</t>
        </is>
      </c>
      <c r="G367" t="n">
        <v>0.6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13160-2023</t>
        </is>
      </c>
      <c r="B368" s="1" t="n">
        <v>45002.57140046296</v>
      </c>
      <c r="C368" s="1" t="n">
        <v>46100</v>
      </c>
      <c r="D368" t="inlineStr">
        <is>
          <t>BLEKINGE LÄN</t>
        </is>
      </c>
      <c r="E368" t="inlineStr">
        <is>
          <t>KARLSKRONA</t>
        </is>
      </c>
      <c r="G368" t="n">
        <v>1.6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18136-2021</t>
        </is>
      </c>
      <c r="B369" s="1" t="n">
        <v>44302</v>
      </c>
      <c r="C369" s="1" t="n">
        <v>46100</v>
      </c>
      <c r="D369" t="inlineStr">
        <is>
          <t>BLEKINGE LÄN</t>
        </is>
      </c>
      <c r="E369" t="inlineStr">
        <is>
          <t>KARLSKRONA</t>
        </is>
      </c>
      <c r="G369" t="n">
        <v>3.3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1243-2023</t>
        </is>
      </c>
      <c r="B370" s="1" t="n">
        <v>44936</v>
      </c>
      <c r="C370" s="1" t="n">
        <v>46100</v>
      </c>
      <c r="D370" t="inlineStr">
        <is>
          <t>BLEKINGE LÄN</t>
        </is>
      </c>
      <c r="E370" t="inlineStr">
        <is>
          <t>KARLSKRONA</t>
        </is>
      </c>
      <c r="G370" t="n">
        <v>2.8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29481-2022</t>
        </is>
      </c>
      <c r="B371" s="1" t="n">
        <v>44753</v>
      </c>
      <c r="C371" s="1" t="n">
        <v>46100</v>
      </c>
      <c r="D371" t="inlineStr">
        <is>
          <t>BLEKINGE LÄN</t>
        </is>
      </c>
      <c r="E371" t="inlineStr">
        <is>
          <t>KARLSKRONA</t>
        </is>
      </c>
      <c r="G371" t="n">
        <v>9.5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27067-2021</t>
        </is>
      </c>
      <c r="B372" s="1" t="n">
        <v>44350</v>
      </c>
      <c r="C372" s="1" t="n">
        <v>46100</v>
      </c>
      <c r="D372" t="inlineStr">
        <is>
          <t>BLEKINGE LÄN</t>
        </is>
      </c>
      <c r="E372" t="inlineStr">
        <is>
          <t>KARLSKRONA</t>
        </is>
      </c>
      <c r="G372" t="n">
        <v>1.7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21997-2022</t>
        </is>
      </c>
      <c r="B373" s="1" t="n">
        <v>44711.57103009259</v>
      </c>
      <c r="C373" s="1" t="n">
        <v>46100</v>
      </c>
      <c r="D373" t="inlineStr">
        <is>
          <t>BLEKINGE LÄN</t>
        </is>
      </c>
      <c r="E373" t="inlineStr">
        <is>
          <t>KARLSKRONA</t>
        </is>
      </c>
      <c r="G373" t="n">
        <v>1.2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45440-2023</t>
        </is>
      </c>
      <c r="B374" s="1" t="n">
        <v>45194.39523148148</v>
      </c>
      <c r="C374" s="1" t="n">
        <v>46100</v>
      </c>
      <c r="D374" t="inlineStr">
        <is>
          <t>BLEKINGE LÄN</t>
        </is>
      </c>
      <c r="E374" t="inlineStr">
        <is>
          <t>KARLSKRONA</t>
        </is>
      </c>
      <c r="G374" t="n">
        <v>0.5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19515-2022</t>
        </is>
      </c>
      <c r="B375" s="1" t="n">
        <v>44693</v>
      </c>
      <c r="C375" s="1" t="n">
        <v>46100</v>
      </c>
      <c r="D375" t="inlineStr">
        <is>
          <t>BLEKINGE LÄN</t>
        </is>
      </c>
      <c r="E375" t="inlineStr">
        <is>
          <t>KARLSKRONA</t>
        </is>
      </c>
      <c r="G375" t="n">
        <v>5.1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49693-2022</t>
        </is>
      </c>
      <c r="B376" s="1" t="n">
        <v>44862</v>
      </c>
      <c r="C376" s="1" t="n">
        <v>46100</v>
      </c>
      <c r="D376" t="inlineStr">
        <is>
          <t>BLEKINGE LÄN</t>
        </is>
      </c>
      <c r="E376" t="inlineStr">
        <is>
          <t>KARLSKRONA</t>
        </is>
      </c>
      <c r="G376" t="n">
        <v>0.5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29394-2023</t>
        </is>
      </c>
      <c r="B377" s="1" t="n">
        <v>45106.43407407407</v>
      </c>
      <c r="C377" s="1" t="n">
        <v>46100</v>
      </c>
      <c r="D377" t="inlineStr">
        <is>
          <t>BLEKINGE LÄN</t>
        </is>
      </c>
      <c r="E377" t="inlineStr">
        <is>
          <t>KARLSKRONA</t>
        </is>
      </c>
      <c r="G377" t="n">
        <v>3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3024-2022</t>
        </is>
      </c>
      <c r="B378" s="1" t="n">
        <v>44581.97131944444</v>
      </c>
      <c r="C378" s="1" t="n">
        <v>46100</v>
      </c>
      <c r="D378" t="inlineStr">
        <is>
          <t>BLEKINGE LÄN</t>
        </is>
      </c>
      <c r="E378" t="inlineStr">
        <is>
          <t>KARLSKRONA</t>
        </is>
      </c>
      <c r="G378" t="n">
        <v>1.3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23099-2023</t>
        </is>
      </c>
      <c r="B379" s="1" t="n">
        <v>45075.43681712963</v>
      </c>
      <c r="C379" s="1" t="n">
        <v>46100</v>
      </c>
      <c r="D379" t="inlineStr">
        <is>
          <t>BLEKINGE LÄN</t>
        </is>
      </c>
      <c r="E379" t="inlineStr">
        <is>
          <t>KARLSKRONA</t>
        </is>
      </c>
      <c r="G379" t="n">
        <v>1.6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53994-2024</t>
        </is>
      </c>
      <c r="B380" s="1" t="n">
        <v>45616.35783564814</v>
      </c>
      <c r="C380" s="1" t="n">
        <v>46100</v>
      </c>
      <c r="D380" t="inlineStr">
        <is>
          <t>BLEKINGE LÄN</t>
        </is>
      </c>
      <c r="E380" t="inlineStr">
        <is>
          <t>KARLSKRONA</t>
        </is>
      </c>
      <c r="G380" t="n">
        <v>2.3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21150-2023</t>
        </is>
      </c>
      <c r="B381" s="1" t="n">
        <v>45062.38267361111</v>
      </c>
      <c r="C381" s="1" t="n">
        <v>46100</v>
      </c>
      <c r="D381" t="inlineStr">
        <is>
          <t>BLEKINGE LÄN</t>
        </is>
      </c>
      <c r="E381" t="inlineStr">
        <is>
          <t>KARLSKRONA</t>
        </is>
      </c>
      <c r="G381" t="n">
        <v>8.5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57646-2024</t>
        </is>
      </c>
      <c r="B382" s="1" t="n">
        <v>45630.58119212963</v>
      </c>
      <c r="C382" s="1" t="n">
        <v>46100</v>
      </c>
      <c r="D382" t="inlineStr">
        <is>
          <t>BLEKINGE LÄN</t>
        </is>
      </c>
      <c r="E382" t="inlineStr">
        <is>
          <t>KARLSKRONA</t>
        </is>
      </c>
      <c r="G382" t="n">
        <v>0.6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54637-2023</t>
        </is>
      </c>
      <c r="B383" s="1" t="n">
        <v>45234</v>
      </c>
      <c r="C383" s="1" t="n">
        <v>46100</v>
      </c>
      <c r="D383" t="inlineStr">
        <is>
          <t>BLEKINGE LÄN</t>
        </is>
      </c>
      <c r="E383" t="inlineStr">
        <is>
          <t>KARLSKRONA</t>
        </is>
      </c>
      <c r="G383" t="n">
        <v>1.1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40041-2025</t>
        </is>
      </c>
      <c r="B384" s="1" t="n">
        <v>45894.39850694445</v>
      </c>
      <c r="C384" s="1" t="n">
        <v>46100</v>
      </c>
      <c r="D384" t="inlineStr">
        <is>
          <t>BLEKINGE LÄN</t>
        </is>
      </c>
      <c r="E384" t="inlineStr">
        <is>
          <t>KARLSKRONA</t>
        </is>
      </c>
      <c r="G384" t="n">
        <v>1.7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37487-2024</t>
        </is>
      </c>
      <c r="B385" s="1" t="n">
        <v>45541.33905092593</v>
      </c>
      <c r="C385" s="1" t="n">
        <v>46100</v>
      </c>
      <c r="D385" t="inlineStr">
        <is>
          <t>BLEKINGE LÄN</t>
        </is>
      </c>
      <c r="E385" t="inlineStr">
        <is>
          <t>KARLSKRONA</t>
        </is>
      </c>
      <c r="G385" t="n">
        <v>4.3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30954-2023</t>
        </is>
      </c>
      <c r="B386" s="1" t="n">
        <v>45113</v>
      </c>
      <c r="C386" s="1" t="n">
        <v>46100</v>
      </c>
      <c r="D386" t="inlineStr">
        <is>
          <t>BLEKINGE LÄN</t>
        </is>
      </c>
      <c r="E386" t="inlineStr">
        <is>
          <t>KARLSKRONA</t>
        </is>
      </c>
      <c r="G386" t="n">
        <v>4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47445-2024</t>
        </is>
      </c>
      <c r="B387" s="1" t="n">
        <v>45587</v>
      </c>
      <c r="C387" s="1" t="n">
        <v>46100</v>
      </c>
      <c r="D387" t="inlineStr">
        <is>
          <t>BLEKINGE LÄN</t>
        </is>
      </c>
      <c r="E387" t="inlineStr">
        <is>
          <t>KARLSKRONA</t>
        </is>
      </c>
      <c r="G387" t="n">
        <v>2.2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40597-2025</t>
        </is>
      </c>
      <c r="B388" s="1" t="n">
        <v>45896.55240740741</v>
      </c>
      <c r="C388" s="1" t="n">
        <v>46100</v>
      </c>
      <c r="D388" t="inlineStr">
        <is>
          <t>BLEKINGE LÄN</t>
        </is>
      </c>
      <c r="E388" t="inlineStr">
        <is>
          <t>KARLSKRONA</t>
        </is>
      </c>
      <c r="G388" t="n">
        <v>4.9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39537-2024</t>
        </is>
      </c>
      <c r="B389" s="1" t="n">
        <v>45551.91032407407</v>
      </c>
      <c r="C389" s="1" t="n">
        <v>46100</v>
      </c>
      <c r="D389" t="inlineStr">
        <is>
          <t>BLEKINGE LÄN</t>
        </is>
      </c>
      <c r="E389" t="inlineStr">
        <is>
          <t>KARLSKRONA</t>
        </is>
      </c>
      <c r="G389" t="n">
        <v>1.3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12180-2022</t>
        </is>
      </c>
      <c r="B390" s="1" t="n">
        <v>44636</v>
      </c>
      <c r="C390" s="1" t="n">
        <v>46100</v>
      </c>
      <c r="D390" t="inlineStr">
        <is>
          <t>BLEKINGE LÄN</t>
        </is>
      </c>
      <c r="E390" t="inlineStr">
        <is>
          <t>KARLSKRONA</t>
        </is>
      </c>
      <c r="G390" t="n">
        <v>2.5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33350-2023</t>
        </is>
      </c>
      <c r="B391" s="1" t="n">
        <v>45117</v>
      </c>
      <c r="C391" s="1" t="n">
        <v>46100</v>
      </c>
      <c r="D391" t="inlineStr">
        <is>
          <t>BLEKINGE LÄN</t>
        </is>
      </c>
      <c r="E391" t="inlineStr">
        <is>
          <t>KARLSKRONA</t>
        </is>
      </c>
      <c r="G391" t="n">
        <v>1.6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43444-2024</t>
        </is>
      </c>
      <c r="B392" s="1" t="n">
        <v>45568</v>
      </c>
      <c r="C392" s="1" t="n">
        <v>46100</v>
      </c>
      <c r="D392" t="inlineStr">
        <is>
          <t>BLEKINGE LÄN</t>
        </is>
      </c>
      <c r="E392" t="inlineStr">
        <is>
          <t>KARLSKRONA</t>
        </is>
      </c>
      <c r="G392" t="n">
        <v>0.7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40082-2023</t>
        </is>
      </c>
      <c r="B393" s="1" t="n">
        <v>45168.89541666667</v>
      </c>
      <c r="C393" s="1" t="n">
        <v>46100</v>
      </c>
      <c r="D393" t="inlineStr">
        <is>
          <t>BLEKINGE LÄN</t>
        </is>
      </c>
      <c r="E393" t="inlineStr">
        <is>
          <t>KARLSKRONA</t>
        </is>
      </c>
      <c r="G393" t="n">
        <v>1.6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2133-2025</t>
        </is>
      </c>
      <c r="B394" s="1" t="n">
        <v>45672.66238425926</v>
      </c>
      <c r="C394" s="1" t="n">
        <v>46100</v>
      </c>
      <c r="D394" t="inlineStr">
        <is>
          <t>BLEKINGE LÄN</t>
        </is>
      </c>
      <c r="E394" t="inlineStr">
        <is>
          <t>KARLSKRONA</t>
        </is>
      </c>
      <c r="G394" t="n">
        <v>0.7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8197-2024</t>
        </is>
      </c>
      <c r="B395" s="1" t="n">
        <v>45351.67325231482</v>
      </c>
      <c r="C395" s="1" t="n">
        <v>46100</v>
      </c>
      <c r="D395" t="inlineStr">
        <is>
          <t>BLEKINGE LÄN</t>
        </is>
      </c>
      <c r="E395" t="inlineStr">
        <is>
          <t>KARLSKRONA</t>
        </is>
      </c>
      <c r="G395" t="n">
        <v>4.1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972-2024</t>
        </is>
      </c>
      <c r="B396" s="1" t="n">
        <v>45301</v>
      </c>
      <c r="C396" s="1" t="n">
        <v>46100</v>
      </c>
      <c r="D396" t="inlineStr">
        <is>
          <t>BLEKINGE LÄN</t>
        </is>
      </c>
      <c r="E396" t="inlineStr">
        <is>
          <t>KARLSKRONA</t>
        </is>
      </c>
      <c r="G396" t="n">
        <v>1.1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16275-2023</t>
        </is>
      </c>
      <c r="B397" s="1" t="n">
        <v>45028.54530092593</v>
      </c>
      <c r="C397" s="1" t="n">
        <v>46100</v>
      </c>
      <c r="D397" t="inlineStr">
        <is>
          <t>BLEKINGE LÄN</t>
        </is>
      </c>
      <c r="E397" t="inlineStr">
        <is>
          <t>KARLSKRONA</t>
        </is>
      </c>
      <c r="G397" t="n">
        <v>1.5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16290-2023</t>
        </is>
      </c>
      <c r="B398" s="1" t="n">
        <v>45028.55927083334</v>
      </c>
      <c r="C398" s="1" t="n">
        <v>46100</v>
      </c>
      <c r="D398" t="inlineStr">
        <is>
          <t>BLEKINGE LÄN</t>
        </is>
      </c>
      <c r="E398" t="inlineStr">
        <is>
          <t>KARLSKRONA</t>
        </is>
      </c>
      <c r="G398" t="n">
        <v>0.4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14971-2021</t>
        </is>
      </c>
      <c r="B399" s="1" t="n">
        <v>44281</v>
      </c>
      <c r="C399" s="1" t="n">
        <v>46100</v>
      </c>
      <c r="D399" t="inlineStr">
        <is>
          <t>BLEKINGE LÄN</t>
        </is>
      </c>
      <c r="E399" t="inlineStr">
        <is>
          <t>KARLSKRONA</t>
        </is>
      </c>
      <c r="G399" t="n">
        <v>0.4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17170-2023</t>
        </is>
      </c>
      <c r="B400" s="1" t="n">
        <v>45030</v>
      </c>
      <c r="C400" s="1" t="n">
        <v>46100</v>
      </c>
      <c r="D400" t="inlineStr">
        <is>
          <t>BLEKINGE LÄN</t>
        </is>
      </c>
      <c r="E400" t="inlineStr">
        <is>
          <t>KARLSKRONA</t>
        </is>
      </c>
      <c r="G400" t="n">
        <v>1.6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7596-2024</t>
        </is>
      </c>
      <c r="B401" s="1" t="n">
        <v>45348.55489583333</v>
      </c>
      <c r="C401" s="1" t="n">
        <v>46100</v>
      </c>
      <c r="D401" t="inlineStr">
        <is>
          <t>BLEKINGE LÄN</t>
        </is>
      </c>
      <c r="E401" t="inlineStr">
        <is>
          <t>KARLSKRONA</t>
        </is>
      </c>
      <c r="G401" t="n">
        <v>1.4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10735-2023</t>
        </is>
      </c>
      <c r="B402" s="1" t="n">
        <v>44988</v>
      </c>
      <c r="C402" s="1" t="n">
        <v>46100</v>
      </c>
      <c r="D402" t="inlineStr">
        <is>
          <t>BLEKINGE LÄN</t>
        </is>
      </c>
      <c r="E402" t="inlineStr">
        <is>
          <t>KARLSKRONA</t>
        </is>
      </c>
      <c r="G402" t="n">
        <v>3.1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3295-2022</t>
        </is>
      </c>
      <c r="B403" s="1" t="n">
        <v>44584</v>
      </c>
      <c r="C403" s="1" t="n">
        <v>46100</v>
      </c>
      <c r="D403" t="inlineStr">
        <is>
          <t>BLEKINGE LÄN</t>
        </is>
      </c>
      <c r="E403" t="inlineStr">
        <is>
          <t>KARLSKRONA</t>
        </is>
      </c>
      <c r="G403" t="n">
        <v>0.5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28615-2022</t>
        </is>
      </c>
      <c r="B404" s="1" t="n">
        <v>44748</v>
      </c>
      <c r="C404" s="1" t="n">
        <v>46100</v>
      </c>
      <c r="D404" t="inlineStr">
        <is>
          <t>BLEKINGE LÄN</t>
        </is>
      </c>
      <c r="E404" t="inlineStr">
        <is>
          <t>KARLSKRONA</t>
        </is>
      </c>
      <c r="G404" t="n">
        <v>3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40080-2023</t>
        </is>
      </c>
      <c r="B405" s="1" t="n">
        <v>45168.8937962963</v>
      </c>
      <c r="C405" s="1" t="n">
        <v>46100</v>
      </c>
      <c r="D405" t="inlineStr">
        <is>
          <t>BLEKINGE LÄN</t>
        </is>
      </c>
      <c r="E405" t="inlineStr">
        <is>
          <t>KARLSKRONA</t>
        </is>
      </c>
      <c r="G405" t="n">
        <v>1.1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20516-2025</t>
        </is>
      </c>
      <c r="B406" s="1" t="n">
        <v>45775.59717592593</v>
      </c>
      <c r="C406" s="1" t="n">
        <v>46100</v>
      </c>
      <c r="D406" t="inlineStr">
        <is>
          <t>BLEKINGE LÄN</t>
        </is>
      </c>
      <c r="E406" t="inlineStr">
        <is>
          <t>KARLSKRONA</t>
        </is>
      </c>
      <c r="G406" t="n">
        <v>9.6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19108-2023</t>
        </is>
      </c>
      <c r="B407" s="1" t="n">
        <v>45048</v>
      </c>
      <c r="C407" s="1" t="n">
        <v>46100</v>
      </c>
      <c r="D407" t="inlineStr">
        <is>
          <t>BLEKINGE LÄN</t>
        </is>
      </c>
      <c r="E407" t="inlineStr">
        <is>
          <t>KARLSKRONA</t>
        </is>
      </c>
      <c r="G407" t="n">
        <v>2.2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4687-2022</t>
        </is>
      </c>
      <c r="B408" s="1" t="n">
        <v>44592</v>
      </c>
      <c r="C408" s="1" t="n">
        <v>46100</v>
      </c>
      <c r="D408" t="inlineStr">
        <is>
          <t>BLEKINGE LÄN</t>
        </is>
      </c>
      <c r="E408" t="inlineStr">
        <is>
          <t>KARLSKRONA</t>
        </is>
      </c>
      <c r="G408" t="n">
        <v>11.8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20064-2025</t>
        </is>
      </c>
      <c r="B409" s="1" t="n">
        <v>45772.43194444444</v>
      </c>
      <c r="C409" s="1" t="n">
        <v>46100</v>
      </c>
      <c r="D409" t="inlineStr">
        <is>
          <t>BLEKINGE LÄN</t>
        </is>
      </c>
      <c r="E409" t="inlineStr">
        <is>
          <t>KARLSKRONA</t>
        </is>
      </c>
      <c r="G409" t="n">
        <v>1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54956-2024</t>
        </is>
      </c>
      <c r="B410" s="1" t="n">
        <v>45619.67202546296</v>
      </c>
      <c r="C410" s="1" t="n">
        <v>46100</v>
      </c>
      <c r="D410" t="inlineStr">
        <is>
          <t>BLEKINGE LÄN</t>
        </is>
      </c>
      <c r="E410" t="inlineStr">
        <is>
          <t>KARLSKRONA</t>
        </is>
      </c>
      <c r="G410" t="n">
        <v>0.4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36964-2023</t>
        </is>
      </c>
      <c r="B411" s="1" t="n">
        <v>45154.93615740741</v>
      </c>
      <c r="C411" s="1" t="n">
        <v>46100</v>
      </c>
      <c r="D411" t="inlineStr">
        <is>
          <t>BLEKINGE LÄN</t>
        </is>
      </c>
      <c r="E411" t="inlineStr">
        <is>
          <t>KARLSKRONA</t>
        </is>
      </c>
      <c r="G411" t="n">
        <v>0.9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16292-2023</t>
        </is>
      </c>
      <c r="B412" s="1" t="n">
        <v>45028.56200231481</v>
      </c>
      <c r="C412" s="1" t="n">
        <v>46100</v>
      </c>
      <c r="D412" t="inlineStr">
        <is>
          <t>BLEKINGE LÄN</t>
        </is>
      </c>
      <c r="E412" t="inlineStr">
        <is>
          <t>KARLSKRONA</t>
        </is>
      </c>
      <c r="G412" t="n">
        <v>1.7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23110-2023</t>
        </is>
      </c>
      <c r="B413" s="1" t="n">
        <v>45075</v>
      </c>
      <c r="C413" s="1" t="n">
        <v>46100</v>
      </c>
      <c r="D413" t="inlineStr">
        <is>
          <t>BLEKINGE LÄN</t>
        </is>
      </c>
      <c r="E413" t="inlineStr">
        <is>
          <t>KARLSKRONA</t>
        </is>
      </c>
      <c r="G413" t="n">
        <v>5.4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51419-2024</t>
        </is>
      </c>
      <c r="B414" s="1" t="n">
        <v>45604.45568287037</v>
      </c>
      <c r="C414" s="1" t="n">
        <v>46100</v>
      </c>
      <c r="D414" t="inlineStr">
        <is>
          <t>BLEKINGE LÄN</t>
        </is>
      </c>
      <c r="E414" t="inlineStr">
        <is>
          <t>KARLSKRONA</t>
        </is>
      </c>
      <c r="G414" t="n">
        <v>1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56476-2024</t>
        </is>
      </c>
      <c r="B415" s="1" t="n">
        <v>45625</v>
      </c>
      <c r="C415" s="1" t="n">
        <v>46100</v>
      </c>
      <c r="D415" t="inlineStr">
        <is>
          <t>BLEKINGE LÄN</t>
        </is>
      </c>
      <c r="E415" t="inlineStr">
        <is>
          <t>KARLSKRONA</t>
        </is>
      </c>
      <c r="G415" t="n">
        <v>2.3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30660-2024</t>
        </is>
      </c>
      <c r="B416" s="1" t="n">
        <v>45495.64009259259</v>
      </c>
      <c r="C416" s="1" t="n">
        <v>46100</v>
      </c>
      <c r="D416" t="inlineStr">
        <is>
          <t>BLEKINGE LÄN</t>
        </is>
      </c>
      <c r="E416" t="inlineStr">
        <is>
          <t>KARLSKRONA</t>
        </is>
      </c>
      <c r="G416" t="n">
        <v>1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23104-2023</t>
        </is>
      </c>
      <c r="B417" s="1" t="n">
        <v>45075.44275462963</v>
      </c>
      <c r="C417" s="1" t="n">
        <v>46100</v>
      </c>
      <c r="D417" t="inlineStr">
        <is>
          <t>BLEKINGE LÄN</t>
        </is>
      </c>
      <c r="E417" t="inlineStr">
        <is>
          <t>KARLSKRONA</t>
        </is>
      </c>
      <c r="G417" t="n">
        <v>4.8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691-2023</t>
        </is>
      </c>
      <c r="B418" s="1" t="n">
        <v>44930</v>
      </c>
      <c r="C418" s="1" t="n">
        <v>46100</v>
      </c>
      <c r="D418" t="inlineStr">
        <is>
          <t>BLEKINGE LÄN</t>
        </is>
      </c>
      <c r="E418" t="inlineStr">
        <is>
          <t>KARLSKRONA</t>
        </is>
      </c>
      <c r="G418" t="n">
        <v>3.4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36807-2024</t>
        </is>
      </c>
      <c r="B419" s="1" t="n">
        <v>45538</v>
      </c>
      <c r="C419" s="1" t="n">
        <v>46100</v>
      </c>
      <c r="D419" t="inlineStr">
        <is>
          <t>BLEKINGE LÄN</t>
        </is>
      </c>
      <c r="E419" t="inlineStr">
        <is>
          <t>KARLSKRONA</t>
        </is>
      </c>
      <c r="G419" t="n">
        <v>3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48975-2024</t>
        </is>
      </c>
      <c r="B420" s="1" t="n">
        <v>45594</v>
      </c>
      <c r="C420" s="1" t="n">
        <v>46100</v>
      </c>
      <c r="D420" t="inlineStr">
        <is>
          <t>BLEKINGE LÄN</t>
        </is>
      </c>
      <c r="E420" t="inlineStr">
        <is>
          <t>KARLSKRONA</t>
        </is>
      </c>
      <c r="G420" t="n">
        <v>7.6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40357-2024</t>
        </is>
      </c>
      <c r="B421" s="1" t="n">
        <v>45555.36652777778</v>
      </c>
      <c r="C421" s="1" t="n">
        <v>46100</v>
      </c>
      <c r="D421" t="inlineStr">
        <is>
          <t>BLEKINGE LÄN</t>
        </is>
      </c>
      <c r="E421" t="inlineStr">
        <is>
          <t>KARLSKRONA</t>
        </is>
      </c>
      <c r="G421" t="n">
        <v>1.2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68972-2021</t>
        </is>
      </c>
      <c r="B422" s="1" t="n">
        <v>44530.55888888889</v>
      </c>
      <c r="C422" s="1" t="n">
        <v>46100</v>
      </c>
      <c r="D422" t="inlineStr">
        <is>
          <t>BLEKINGE LÄN</t>
        </is>
      </c>
      <c r="E422" t="inlineStr">
        <is>
          <t>KARLSKRONA</t>
        </is>
      </c>
      <c r="G422" t="n">
        <v>6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7252-2024</t>
        </is>
      </c>
      <c r="B423" s="1" t="n">
        <v>45344.695</v>
      </c>
      <c r="C423" s="1" t="n">
        <v>46100</v>
      </c>
      <c r="D423" t="inlineStr">
        <is>
          <t>BLEKINGE LÄN</t>
        </is>
      </c>
      <c r="E423" t="inlineStr">
        <is>
          <t>KARLSKRONA</t>
        </is>
      </c>
      <c r="F423" t="inlineStr">
        <is>
          <t>Kommuner</t>
        </is>
      </c>
      <c r="G423" t="n">
        <v>2.4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5630-2025</t>
        </is>
      </c>
      <c r="B424" s="1" t="n">
        <v>45693</v>
      </c>
      <c r="C424" s="1" t="n">
        <v>46100</v>
      </c>
      <c r="D424" t="inlineStr">
        <is>
          <t>BLEKINGE LÄN</t>
        </is>
      </c>
      <c r="E424" t="inlineStr">
        <is>
          <t>KARLSKRONA</t>
        </is>
      </c>
      <c r="G424" t="n">
        <v>2.5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31021-2024</t>
        </is>
      </c>
      <c r="B425" s="1" t="n">
        <v>45499</v>
      </c>
      <c r="C425" s="1" t="n">
        <v>46100</v>
      </c>
      <c r="D425" t="inlineStr">
        <is>
          <t>BLEKINGE LÄN</t>
        </is>
      </c>
      <c r="E425" t="inlineStr">
        <is>
          <t>KARLSKRONA</t>
        </is>
      </c>
      <c r="G425" t="n">
        <v>6.1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54942-2021</t>
        </is>
      </c>
      <c r="B426" s="1" t="n">
        <v>44473</v>
      </c>
      <c r="C426" s="1" t="n">
        <v>46100</v>
      </c>
      <c r="D426" t="inlineStr">
        <is>
          <t>BLEKINGE LÄN</t>
        </is>
      </c>
      <c r="E426" t="inlineStr">
        <is>
          <t>KARLSKRONA</t>
        </is>
      </c>
      <c r="G426" t="n">
        <v>2.5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16975-2021</t>
        </is>
      </c>
      <c r="B427" s="1" t="n">
        <v>44295.58509259259</v>
      </c>
      <c r="C427" s="1" t="n">
        <v>46100</v>
      </c>
      <c r="D427" t="inlineStr">
        <is>
          <t>BLEKINGE LÄN</t>
        </is>
      </c>
      <c r="E427" t="inlineStr">
        <is>
          <t>KARLSKRONA</t>
        </is>
      </c>
      <c r="G427" t="n">
        <v>4.1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11411-2024</t>
        </is>
      </c>
      <c r="B428" s="1" t="n">
        <v>45372.46738425926</v>
      </c>
      <c r="C428" s="1" t="n">
        <v>46100</v>
      </c>
      <c r="D428" t="inlineStr">
        <is>
          <t>BLEKINGE LÄN</t>
        </is>
      </c>
      <c r="E428" t="inlineStr">
        <is>
          <t>KARLSKRONA</t>
        </is>
      </c>
      <c r="G428" t="n">
        <v>5.1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44425-2024</t>
        </is>
      </c>
      <c r="B429" s="1" t="n">
        <v>45573.91842592593</v>
      </c>
      <c r="C429" s="1" t="n">
        <v>46100</v>
      </c>
      <c r="D429" t="inlineStr">
        <is>
          <t>BLEKINGE LÄN</t>
        </is>
      </c>
      <c r="E429" t="inlineStr">
        <is>
          <t>KARLSKRONA</t>
        </is>
      </c>
      <c r="G429" t="n">
        <v>3.3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55270-2024</t>
        </is>
      </c>
      <c r="B430" s="1" t="n">
        <v>45621</v>
      </c>
      <c r="C430" s="1" t="n">
        <v>46100</v>
      </c>
      <c r="D430" t="inlineStr">
        <is>
          <t>BLEKINGE LÄN</t>
        </is>
      </c>
      <c r="E430" t="inlineStr">
        <is>
          <t>KARLSKRONA</t>
        </is>
      </c>
      <c r="G430" t="n">
        <v>1.7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10226-2024</t>
        </is>
      </c>
      <c r="B431" s="1" t="n">
        <v>45365.30353009259</v>
      </c>
      <c r="C431" s="1" t="n">
        <v>46100</v>
      </c>
      <c r="D431" t="inlineStr">
        <is>
          <t>BLEKINGE LÄN</t>
        </is>
      </c>
      <c r="E431" t="inlineStr">
        <is>
          <t>KARLSKRONA</t>
        </is>
      </c>
      <c r="G431" t="n">
        <v>1.6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37400-2021</t>
        </is>
      </c>
      <c r="B432" s="1" t="n">
        <v>44398</v>
      </c>
      <c r="C432" s="1" t="n">
        <v>46100</v>
      </c>
      <c r="D432" t="inlineStr">
        <is>
          <t>BLEKINGE LÄN</t>
        </is>
      </c>
      <c r="E432" t="inlineStr">
        <is>
          <t>KARLSKRONA</t>
        </is>
      </c>
      <c r="G432" t="n">
        <v>23.4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1356-2024</t>
        </is>
      </c>
      <c r="B433" s="1" t="n">
        <v>45303</v>
      </c>
      <c r="C433" s="1" t="n">
        <v>46100</v>
      </c>
      <c r="D433" t="inlineStr">
        <is>
          <t>BLEKINGE LÄN</t>
        </is>
      </c>
      <c r="E433" t="inlineStr">
        <is>
          <t>KARLSKRONA</t>
        </is>
      </c>
      <c r="G433" t="n">
        <v>2.4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36730-2024</t>
        </is>
      </c>
      <c r="B434" s="1" t="n">
        <v>45537.91339120371</v>
      </c>
      <c r="C434" s="1" t="n">
        <v>46100</v>
      </c>
      <c r="D434" t="inlineStr">
        <is>
          <t>BLEKINGE LÄN</t>
        </is>
      </c>
      <c r="E434" t="inlineStr">
        <is>
          <t>KARLSKRONA</t>
        </is>
      </c>
      <c r="G434" t="n">
        <v>5.2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36576-2024</t>
        </is>
      </c>
      <c r="B435" s="1" t="n">
        <v>45537.49834490741</v>
      </c>
      <c r="C435" s="1" t="n">
        <v>46100</v>
      </c>
      <c r="D435" t="inlineStr">
        <is>
          <t>BLEKINGE LÄN</t>
        </is>
      </c>
      <c r="E435" t="inlineStr">
        <is>
          <t>KARLSKRONA</t>
        </is>
      </c>
      <c r="G435" t="n">
        <v>0.5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21582-2025</t>
        </is>
      </c>
      <c r="B436" s="1" t="n">
        <v>45782</v>
      </c>
      <c r="C436" s="1" t="n">
        <v>46100</v>
      </c>
      <c r="D436" t="inlineStr">
        <is>
          <t>BLEKINGE LÄN</t>
        </is>
      </c>
      <c r="E436" t="inlineStr">
        <is>
          <t>KARLSKRONA</t>
        </is>
      </c>
      <c r="G436" t="n">
        <v>2.2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14448-2023</t>
        </is>
      </c>
      <c r="B437" s="1" t="n">
        <v>45012.60288194445</v>
      </c>
      <c r="C437" s="1" t="n">
        <v>46100</v>
      </c>
      <c r="D437" t="inlineStr">
        <is>
          <t>BLEKINGE LÄN</t>
        </is>
      </c>
      <c r="E437" t="inlineStr">
        <is>
          <t>KARLSKRONA</t>
        </is>
      </c>
      <c r="G437" t="n">
        <v>0.6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21586-2025</t>
        </is>
      </c>
      <c r="B438" s="1" t="n">
        <v>45783.29873842592</v>
      </c>
      <c r="C438" s="1" t="n">
        <v>46100</v>
      </c>
      <c r="D438" t="inlineStr">
        <is>
          <t>BLEKINGE LÄN</t>
        </is>
      </c>
      <c r="E438" t="inlineStr">
        <is>
          <t>KARLSKRONA</t>
        </is>
      </c>
      <c r="G438" t="n">
        <v>1.7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64820-2021</t>
        </is>
      </c>
      <c r="B439" s="1" t="n">
        <v>44512</v>
      </c>
      <c r="C439" s="1" t="n">
        <v>46100</v>
      </c>
      <c r="D439" t="inlineStr">
        <is>
          <t>BLEKINGE LÄN</t>
        </is>
      </c>
      <c r="E439" t="inlineStr">
        <is>
          <t>KARLSKRONA</t>
        </is>
      </c>
      <c r="G439" t="n">
        <v>1.1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24951-2023</t>
        </is>
      </c>
      <c r="B440" s="1" t="n">
        <v>45085.57921296296</v>
      </c>
      <c r="C440" s="1" t="n">
        <v>46100</v>
      </c>
      <c r="D440" t="inlineStr">
        <is>
          <t>BLEKINGE LÄN</t>
        </is>
      </c>
      <c r="E440" t="inlineStr">
        <is>
          <t>KARLSKRONA</t>
        </is>
      </c>
      <c r="G440" t="n">
        <v>0.8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37394-2022</t>
        </is>
      </c>
      <c r="B441" s="1" t="n">
        <v>44809.41969907407</v>
      </c>
      <c r="C441" s="1" t="n">
        <v>46100</v>
      </c>
      <c r="D441" t="inlineStr">
        <is>
          <t>BLEKINGE LÄN</t>
        </is>
      </c>
      <c r="E441" t="inlineStr">
        <is>
          <t>KARLSKRONA</t>
        </is>
      </c>
      <c r="G441" t="n">
        <v>1.3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21880-2024</t>
        </is>
      </c>
      <c r="B442" s="1" t="n">
        <v>45443</v>
      </c>
      <c r="C442" s="1" t="n">
        <v>46100</v>
      </c>
      <c r="D442" t="inlineStr">
        <is>
          <t>BLEKINGE LÄN</t>
        </is>
      </c>
      <c r="E442" t="inlineStr">
        <is>
          <t>KARLSKRONA</t>
        </is>
      </c>
      <c r="G442" t="n">
        <v>1.6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40799-2025</t>
        </is>
      </c>
      <c r="B443" s="1" t="n">
        <v>45897.45144675926</v>
      </c>
      <c r="C443" s="1" t="n">
        <v>46100</v>
      </c>
      <c r="D443" t="inlineStr">
        <is>
          <t>BLEKINGE LÄN</t>
        </is>
      </c>
      <c r="E443" t="inlineStr">
        <is>
          <t>KARLSKRONA</t>
        </is>
      </c>
      <c r="G443" t="n">
        <v>3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21606-2025</t>
        </is>
      </c>
      <c r="B444" s="1" t="n">
        <v>45783.38400462963</v>
      </c>
      <c r="C444" s="1" t="n">
        <v>46100</v>
      </c>
      <c r="D444" t="inlineStr">
        <is>
          <t>BLEKINGE LÄN</t>
        </is>
      </c>
      <c r="E444" t="inlineStr">
        <is>
          <t>KARLSKRONA</t>
        </is>
      </c>
      <c r="G444" t="n">
        <v>0.8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21648-2025</t>
        </is>
      </c>
      <c r="B445" s="1" t="n">
        <v>45783.43942129629</v>
      </c>
      <c r="C445" s="1" t="n">
        <v>46100</v>
      </c>
      <c r="D445" t="inlineStr">
        <is>
          <t>BLEKINGE LÄN</t>
        </is>
      </c>
      <c r="E445" t="inlineStr">
        <is>
          <t>KARLSKRONA</t>
        </is>
      </c>
      <c r="G445" t="n">
        <v>0.4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29914-2022</t>
        </is>
      </c>
      <c r="B446" s="1" t="n">
        <v>44756.55196759259</v>
      </c>
      <c r="C446" s="1" t="n">
        <v>46100</v>
      </c>
      <c r="D446" t="inlineStr">
        <is>
          <t>BLEKINGE LÄN</t>
        </is>
      </c>
      <c r="E446" t="inlineStr">
        <is>
          <t>KARLSKRONA</t>
        </is>
      </c>
      <c r="G446" t="n">
        <v>1.6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13535-2024</t>
        </is>
      </c>
      <c r="B447" s="1" t="n">
        <v>45387.90001157407</v>
      </c>
      <c r="C447" s="1" t="n">
        <v>46100</v>
      </c>
      <c r="D447" t="inlineStr">
        <is>
          <t>BLEKINGE LÄN</t>
        </is>
      </c>
      <c r="E447" t="inlineStr">
        <is>
          <t>KARLSKRONA</t>
        </is>
      </c>
      <c r="G447" t="n">
        <v>1.7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23679-2023</t>
        </is>
      </c>
      <c r="B448" s="1" t="n">
        <v>45077</v>
      </c>
      <c r="C448" s="1" t="n">
        <v>46100</v>
      </c>
      <c r="D448" t="inlineStr">
        <is>
          <t>BLEKINGE LÄN</t>
        </is>
      </c>
      <c r="E448" t="inlineStr">
        <is>
          <t>KARLSKRONA</t>
        </is>
      </c>
      <c r="G448" t="n">
        <v>0.8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2711-2023</t>
        </is>
      </c>
      <c r="B449" s="1" t="n">
        <v>44942</v>
      </c>
      <c r="C449" s="1" t="n">
        <v>46100</v>
      </c>
      <c r="D449" t="inlineStr">
        <is>
          <t>BLEKINGE LÄN</t>
        </is>
      </c>
      <c r="E449" t="inlineStr">
        <is>
          <t>KARLSKRONA</t>
        </is>
      </c>
      <c r="G449" t="n">
        <v>4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51455-2024</t>
        </is>
      </c>
      <c r="B450" s="1" t="n">
        <v>45604.4915625</v>
      </c>
      <c r="C450" s="1" t="n">
        <v>46100</v>
      </c>
      <c r="D450" t="inlineStr">
        <is>
          <t>BLEKINGE LÄN</t>
        </is>
      </c>
      <c r="E450" t="inlineStr">
        <is>
          <t>KARLSKRONA</t>
        </is>
      </c>
      <c r="G450" t="n">
        <v>2.1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29913-2023</t>
        </is>
      </c>
      <c r="B451" s="1" t="n">
        <v>45107.6715625</v>
      </c>
      <c r="C451" s="1" t="n">
        <v>46100</v>
      </c>
      <c r="D451" t="inlineStr">
        <is>
          <t>BLEKINGE LÄN</t>
        </is>
      </c>
      <c r="E451" t="inlineStr">
        <is>
          <t>KARLSKRONA</t>
        </is>
      </c>
      <c r="G451" t="n">
        <v>0.5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24969-2022</t>
        </is>
      </c>
      <c r="B452" s="1" t="n">
        <v>44728.67653935185</v>
      </c>
      <c r="C452" s="1" t="n">
        <v>46100</v>
      </c>
      <c r="D452" t="inlineStr">
        <is>
          <t>BLEKINGE LÄN</t>
        </is>
      </c>
      <c r="E452" t="inlineStr">
        <is>
          <t>KARLSKRONA</t>
        </is>
      </c>
      <c r="G452" t="n">
        <v>1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27749-2024</t>
        </is>
      </c>
      <c r="B453" s="1" t="n">
        <v>45475</v>
      </c>
      <c r="C453" s="1" t="n">
        <v>46100</v>
      </c>
      <c r="D453" t="inlineStr">
        <is>
          <t>BLEKINGE LÄN</t>
        </is>
      </c>
      <c r="E453" t="inlineStr">
        <is>
          <t>KARLSKRONA</t>
        </is>
      </c>
      <c r="G453" t="n">
        <v>0.6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12944-2023</t>
        </is>
      </c>
      <c r="B454" s="1" t="n">
        <v>45001.70106481481</v>
      </c>
      <c r="C454" s="1" t="n">
        <v>46100</v>
      </c>
      <c r="D454" t="inlineStr">
        <is>
          <t>BLEKINGE LÄN</t>
        </is>
      </c>
      <c r="E454" t="inlineStr">
        <is>
          <t>KARLSKRONA</t>
        </is>
      </c>
      <c r="G454" t="n">
        <v>1.5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63899-2023</t>
        </is>
      </c>
      <c r="B455" s="1" t="n">
        <v>45278.56393518519</v>
      </c>
      <c r="C455" s="1" t="n">
        <v>46100</v>
      </c>
      <c r="D455" t="inlineStr">
        <is>
          <t>BLEKINGE LÄN</t>
        </is>
      </c>
      <c r="E455" t="inlineStr">
        <is>
          <t>KARLSKRONA</t>
        </is>
      </c>
      <c r="G455" t="n">
        <v>1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5885-2025</t>
        </is>
      </c>
      <c r="B456" s="1" t="n">
        <v>45695.37572916667</v>
      </c>
      <c r="C456" s="1" t="n">
        <v>46100</v>
      </c>
      <c r="D456" t="inlineStr">
        <is>
          <t>BLEKINGE LÄN</t>
        </is>
      </c>
      <c r="E456" t="inlineStr">
        <is>
          <t>KARLSKRONA</t>
        </is>
      </c>
      <c r="G456" t="n">
        <v>0.4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21833-2025</t>
        </is>
      </c>
      <c r="B457" s="1" t="n">
        <v>45784.28789351852</v>
      </c>
      <c r="C457" s="1" t="n">
        <v>46100</v>
      </c>
      <c r="D457" t="inlineStr">
        <is>
          <t>BLEKINGE LÄN</t>
        </is>
      </c>
      <c r="E457" t="inlineStr">
        <is>
          <t>KARLSKRONA</t>
        </is>
      </c>
      <c r="G457" t="n">
        <v>2.7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21834-2025</t>
        </is>
      </c>
      <c r="B458" s="1" t="n">
        <v>45784.29160879629</v>
      </c>
      <c r="C458" s="1" t="n">
        <v>46100</v>
      </c>
      <c r="D458" t="inlineStr">
        <is>
          <t>BLEKINGE LÄN</t>
        </is>
      </c>
      <c r="E458" t="inlineStr">
        <is>
          <t>KARLSKRONA</t>
        </is>
      </c>
      <c r="G458" t="n">
        <v>7.9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40991-2025</t>
        </is>
      </c>
      <c r="B459" s="1" t="n">
        <v>45898.32637731481</v>
      </c>
      <c r="C459" s="1" t="n">
        <v>46100</v>
      </c>
      <c r="D459" t="inlineStr">
        <is>
          <t>BLEKINGE LÄN</t>
        </is>
      </c>
      <c r="E459" t="inlineStr">
        <is>
          <t>KARLSKRONA</t>
        </is>
      </c>
      <c r="G459" t="n">
        <v>1.8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56340-2024</t>
        </is>
      </c>
      <c r="B460" s="1" t="n">
        <v>45624.8330324074</v>
      </c>
      <c r="C460" s="1" t="n">
        <v>46100</v>
      </c>
      <c r="D460" t="inlineStr">
        <is>
          <t>BLEKINGE LÄN</t>
        </is>
      </c>
      <c r="E460" t="inlineStr">
        <is>
          <t>KARLSKRONA</t>
        </is>
      </c>
      <c r="G460" t="n">
        <v>3.5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21953-2025</t>
        </is>
      </c>
      <c r="B461" s="1" t="n">
        <v>45784.5990625</v>
      </c>
      <c r="C461" s="1" t="n">
        <v>46100</v>
      </c>
      <c r="D461" t="inlineStr">
        <is>
          <t>BLEKINGE LÄN</t>
        </is>
      </c>
      <c r="E461" t="inlineStr">
        <is>
          <t>KARLSKRONA</t>
        </is>
      </c>
      <c r="G461" t="n">
        <v>2.2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21955-2025</t>
        </is>
      </c>
      <c r="B462" s="1" t="n">
        <v>45784.60247685185</v>
      </c>
      <c r="C462" s="1" t="n">
        <v>46100</v>
      </c>
      <c r="D462" t="inlineStr">
        <is>
          <t>BLEKINGE LÄN</t>
        </is>
      </c>
      <c r="E462" t="inlineStr">
        <is>
          <t>KARLSKRONA</t>
        </is>
      </c>
      <c r="G462" t="n">
        <v>1.3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21832-2025</t>
        </is>
      </c>
      <c r="B463" s="1" t="n">
        <v>45784.28640046297</v>
      </c>
      <c r="C463" s="1" t="n">
        <v>46100</v>
      </c>
      <c r="D463" t="inlineStr">
        <is>
          <t>BLEKINGE LÄN</t>
        </is>
      </c>
      <c r="E463" t="inlineStr">
        <is>
          <t>KARLSKRONA</t>
        </is>
      </c>
      <c r="G463" t="n">
        <v>2.1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2416-2025</t>
        </is>
      </c>
      <c r="B464" s="1" t="n">
        <v>45674.37980324074</v>
      </c>
      <c r="C464" s="1" t="n">
        <v>46100</v>
      </c>
      <c r="D464" t="inlineStr">
        <is>
          <t>BLEKINGE LÄN</t>
        </is>
      </c>
      <c r="E464" t="inlineStr">
        <is>
          <t>KARLSKRONA</t>
        </is>
      </c>
      <c r="G464" t="n">
        <v>2.9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26356-2024</t>
        </is>
      </c>
      <c r="B465" s="1" t="n">
        <v>45469.37361111111</v>
      </c>
      <c r="C465" s="1" t="n">
        <v>46100</v>
      </c>
      <c r="D465" t="inlineStr">
        <is>
          <t>BLEKINGE LÄN</t>
        </is>
      </c>
      <c r="E465" t="inlineStr">
        <is>
          <t>KARLSKRONA</t>
        </is>
      </c>
      <c r="G465" t="n">
        <v>0.6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9349-2025</t>
        </is>
      </c>
      <c r="B466" s="1" t="n">
        <v>45714.8555324074</v>
      </c>
      <c r="C466" s="1" t="n">
        <v>46100</v>
      </c>
      <c r="D466" t="inlineStr">
        <is>
          <t>BLEKINGE LÄN</t>
        </is>
      </c>
      <c r="E466" t="inlineStr">
        <is>
          <t>KARLSKRONA</t>
        </is>
      </c>
      <c r="G466" t="n">
        <v>2.5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3928-2022</t>
        </is>
      </c>
      <c r="B467" s="1" t="n">
        <v>44587.5346412037</v>
      </c>
      <c r="C467" s="1" t="n">
        <v>46100</v>
      </c>
      <c r="D467" t="inlineStr">
        <is>
          <t>BLEKINGE LÄN</t>
        </is>
      </c>
      <c r="E467" t="inlineStr">
        <is>
          <t>KARLSKRONA</t>
        </is>
      </c>
      <c r="G467" t="n">
        <v>1.2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22008-2021</t>
        </is>
      </c>
      <c r="B468" s="1" t="n">
        <v>44323</v>
      </c>
      <c r="C468" s="1" t="n">
        <v>46100</v>
      </c>
      <c r="D468" t="inlineStr">
        <is>
          <t>BLEKINGE LÄN</t>
        </is>
      </c>
      <c r="E468" t="inlineStr">
        <is>
          <t>KARLSKRONA</t>
        </is>
      </c>
      <c r="G468" t="n">
        <v>0.7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57830-2024</t>
        </is>
      </c>
      <c r="B469" s="1" t="n">
        <v>45631.39092592592</v>
      </c>
      <c r="C469" s="1" t="n">
        <v>46100</v>
      </c>
      <c r="D469" t="inlineStr">
        <is>
          <t>BLEKINGE LÄN</t>
        </is>
      </c>
      <c r="E469" t="inlineStr">
        <is>
          <t>KARLSKRONA</t>
        </is>
      </c>
      <c r="G469" t="n">
        <v>4.5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22262-2025</t>
        </is>
      </c>
      <c r="B470" s="1" t="n">
        <v>45785.77976851852</v>
      </c>
      <c r="C470" s="1" t="n">
        <v>46100</v>
      </c>
      <c r="D470" t="inlineStr">
        <is>
          <t>BLEKINGE LÄN</t>
        </is>
      </c>
      <c r="E470" t="inlineStr">
        <is>
          <t>KARLSKRONA</t>
        </is>
      </c>
      <c r="G470" t="n">
        <v>2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39992-2024</t>
        </is>
      </c>
      <c r="B471" s="1" t="n">
        <v>45553.63233796296</v>
      </c>
      <c r="C471" s="1" t="n">
        <v>46100</v>
      </c>
      <c r="D471" t="inlineStr">
        <is>
          <t>BLEKINGE LÄN</t>
        </is>
      </c>
      <c r="E471" t="inlineStr">
        <is>
          <t>KARLSKRONA</t>
        </is>
      </c>
      <c r="G471" t="n">
        <v>5.4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9384-2023</t>
        </is>
      </c>
      <c r="B472" s="1" t="n">
        <v>44981</v>
      </c>
      <c r="C472" s="1" t="n">
        <v>46100</v>
      </c>
      <c r="D472" t="inlineStr">
        <is>
          <t>BLEKINGE LÄN</t>
        </is>
      </c>
      <c r="E472" t="inlineStr">
        <is>
          <t>KARLSKRONA</t>
        </is>
      </c>
      <c r="G472" t="n">
        <v>2.8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22798-2025</t>
        </is>
      </c>
      <c r="B473" s="1" t="n">
        <v>45789.66337962963</v>
      </c>
      <c r="C473" s="1" t="n">
        <v>46100</v>
      </c>
      <c r="D473" t="inlineStr">
        <is>
          <t>BLEKINGE LÄN</t>
        </is>
      </c>
      <c r="E473" t="inlineStr">
        <is>
          <t>KARLSKRONA</t>
        </is>
      </c>
      <c r="G473" t="n">
        <v>1.5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60538-2021</t>
        </is>
      </c>
      <c r="B474" s="1" t="n">
        <v>44496</v>
      </c>
      <c r="C474" s="1" t="n">
        <v>46100</v>
      </c>
      <c r="D474" t="inlineStr">
        <is>
          <t>BLEKINGE LÄN</t>
        </is>
      </c>
      <c r="E474" t="inlineStr">
        <is>
          <t>KARLSKRONA</t>
        </is>
      </c>
      <c r="G474" t="n">
        <v>3.9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52682-2024</t>
        </is>
      </c>
      <c r="B475" s="1" t="n">
        <v>45610.38868055555</v>
      </c>
      <c r="C475" s="1" t="n">
        <v>46100</v>
      </c>
      <c r="D475" t="inlineStr">
        <is>
          <t>BLEKINGE LÄN</t>
        </is>
      </c>
      <c r="E475" t="inlineStr">
        <is>
          <t>KARLSKRONA</t>
        </is>
      </c>
      <c r="G475" t="n">
        <v>1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52951-2024</t>
        </is>
      </c>
      <c r="B476" s="1" t="n">
        <v>45610.89532407407</v>
      </c>
      <c r="C476" s="1" t="n">
        <v>46100</v>
      </c>
      <c r="D476" t="inlineStr">
        <is>
          <t>BLEKINGE LÄN</t>
        </is>
      </c>
      <c r="E476" t="inlineStr">
        <is>
          <t>KARLSKRONA</t>
        </is>
      </c>
      <c r="G476" t="n">
        <v>6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14644-2025</t>
        </is>
      </c>
      <c r="B477" s="1" t="n">
        <v>45742</v>
      </c>
      <c r="C477" s="1" t="n">
        <v>46100</v>
      </c>
      <c r="D477" t="inlineStr">
        <is>
          <t>BLEKINGE LÄN</t>
        </is>
      </c>
      <c r="E477" t="inlineStr">
        <is>
          <t>KARLSKRONA</t>
        </is>
      </c>
      <c r="G477" t="n">
        <v>2.6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62025-2024</t>
        </is>
      </c>
      <c r="B478" s="1" t="n">
        <v>45656.2784375</v>
      </c>
      <c r="C478" s="1" t="n">
        <v>46100</v>
      </c>
      <c r="D478" t="inlineStr">
        <is>
          <t>BLEKINGE LÄN</t>
        </is>
      </c>
      <c r="E478" t="inlineStr">
        <is>
          <t>KARLSKRONA</t>
        </is>
      </c>
      <c r="G478" t="n">
        <v>1.1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23464-2024</t>
        </is>
      </c>
      <c r="B479" s="1" t="n">
        <v>45453</v>
      </c>
      <c r="C479" s="1" t="n">
        <v>46100</v>
      </c>
      <c r="D479" t="inlineStr">
        <is>
          <t>BLEKINGE LÄN</t>
        </is>
      </c>
      <c r="E479" t="inlineStr">
        <is>
          <t>KARLSKRONA</t>
        </is>
      </c>
      <c r="G479" t="n">
        <v>3.4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16638-2025</t>
        </is>
      </c>
      <c r="B480" s="1" t="n">
        <v>45754.36746527778</v>
      </c>
      <c r="C480" s="1" t="n">
        <v>46100</v>
      </c>
      <c r="D480" t="inlineStr">
        <is>
          <t>BLEKINGE LÄN</t>
        </is>
      </c>
      <c r="E480" t="inlineStr">
        <is>
          <t>KARLSKRONA</t>
        </is>
      </c>
      <c r="G480" t="n">
        <v>1.2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5880-2022</t>
        </is>
      </c>
      <c r="B481" s="1" t="n">
        <v>44596</v>
      </c>
      <c r="C481" s="1" t="n">
        <v>46100</v>
      </c>
      <c r="D481" t="inlineStr">
        <is>
          <t>BLEKINGE LÄN</t>
        </is>
      </c>
      <c r="E481" t="inlineStr">
        <is>
          <t>KARLSKRONA</t>
        </is>
      </c>
      <c r="F481" t="inlineStr">
        <is>
          <t>Kommuner</t>
        </is>
      </c>
      <c r="G481" t="n">
        <v>0.8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27763-2024</t>
        </is>
      </c>
      <c r="B482" s="1" t="n">
        <v>45475</v>
      </c>
      <c r="C482" s="1" t="n">
        <v>46100</v>
      </c>
      <c r="D482" t="inlineStr">
        <is>
          <t>BLEKINGE LÄN</t>
        </is>
      </c>
      <c r="E482" t="inlineStr">
        <is>
          <t>KARLSKRONA</t>
        </is>
      </c>
      <c r="G482" t="n">
        <v>7.6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5218-2025</t>
        </is>
      </c>
      <c r="B483" s="1" t="n">
        <v>45691.70079861111</v>
      </c>
      <c r="C483" s="1" t="n">
        <v>46100</v>
      </c>
      <c r="D483" t="inlineStr">
        <is>
          <t>BLEKINGE LÄN</t>
        </is>
      </c>
      <c r="E483" t="inlineStr">
        <is>
          <t>KARLSKRONA</t>
        </is>
      </c>
      <c r="G483" t="n">
        <v>1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35694-2024</t>
        </is>
      </c>
      <c r="B484" s="1" t="n">
        <v>45532.43490740741</v>
      </c>
      <c r="C484" s="1" t="n">
        <v>46100</v>
      </c>
      <c r="D484" t="inlineStr">
        <is>
          <t>BLEKINGE LÄN</t>
        </is>
      </c>
      <c r="E484" t="inlineStr">
        <is>
          <t>KARLSKRONA</t>
        </is>
      </c>
      <c r="G484" t="n">
        <v>2.2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12827-2024</t>
        </is>
      </c>
      <c r="B485" s="1" t="n">
        <v>45384.68908564815</v>
      </c>
      <c r="C485" s="1" t="n">
        <v>46100</v>
      </c>
      <c r="D485" t="inlineStr">
        <is>
          <t>BLEKINGE LÄN</t>
        </is>
      </c>
      <c r="E485" t="inlineStr">
        <is>
          <t>KARLSKRONA</t>
        </is>
      </c>
      <c r="G485" t="n">
        <v>2.4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37415-2024</t>
        </is>
      </c>
      <c r="B486" s="1" t="n">
        <v>45540.63275462963</v>
      </c>
      <c r="C486" s="1" t="n">
        <v>46100</v>
      </c>
      <c r="D486" t="inlineStr">
        <is>
          <t>BLEKINGE LÄN</t>
        </is>
      </c>
      <c r="E486" t="inlineStr">
        <is>
          <t>KARLSKRONA</t>
        </is>
      </c>
      <c r="G486" t="n">
        <v>8.300000000000001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52810-2024</t>
        </is>
      </c>
      <c r="B487" s="1" t="n">
        <v>45610</v>
      </c>
      <c r="C487" s="1" t="n">
        <v>46100</v>
      </c>
      <c r="D487" t="inlineStr">
        <is>
          <t>BLEKINGE LÄN</t>
        </is>
      </c>
      <c r="E487" t="inlineStr">
        <is>
          <t>KARLSKRONA</t>
        </is>
      </c>
      <c r="G487" t="n">
        <v>3.5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22147-2023</t>
        </is>
      </c>
      <c r="B488" s="1" t="n">
        <v>45069</v>
      </c>
      <c r="C488" s="1" t="n">
        <v>46100</v>
      </c>
      <c r="D488" t="inlineStr">
        <is>
          <t>BLEKINGE LÄN</t>
        </is>
      </c>
      <c r="E488" t="inlineStr">
        <is>
          <t>KARLSKRONA</t>
        </is>
      </c>
      <c r="G488" t="n">
        <v>1.9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53061-2022</t>
        </is>
      </c>
      <c r="B489" s="1" t="n">
        <v>44876.36309027778</v>
      </c>
      <c r="C489" s="1" t="n">
        <v>46100</v>
      </c>
      <c r="D489" t="inlineStr">
        <is>
          <t>BLEKINGE LÄN</t>
        </is>
      </c>
      <c r="E489" t="inlineStr">
        <is>
          <t>KARLSKRONA</t>
        </is>
      </c>
      <c r="G489" t="n">
        <v>6.1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35695-2024</t>
        </is>
      </c>
      <c r="B490" s="1" t="n">
        <v>45532.43672453704</v>
      </c>
      <c r="C490" s="1" t="n">
        <v>46100</v>
      </c>
      <c r="D490" t="inlineStr">
        <is>
          <t>BLEKINGE LÄN</t>
        </is>
      </c>
      <c r="E490" t="inlineStr">
        <is>
          <t>KARLSKRONA</t>
        </is>
      </c>
      <c r="G490" t="n">
        <v>2.8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35696-2024</t>
        </is>
      </c>
      <c r="B491" s="1" t="n">
        <v>45532.43798611111</v>
      </c>
      <c r="C491" s="1" t="n">
        <v>46100</v>
      </c>
      <c r="D491" t="inlineStr">
        <is>
          <t>BLEKINGE LÄN</t>
        </is>
      </c>
      <c r="E491" t="inlineStr">
        <is>
          <t>KARLSKRONA</t>
        </is>
      </c>
      <c r="G491" t="n">
        <v>1.5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39361-2024</t>
        </is>
      </c>
      <c r="B492" s="1" t="n">
        <v>45551</v>
      </c>
      <c r="C492" s="1" t="n">
        <v>46100</v>
      </c>
      <c r="D492" t="inlineStr">
        <is>
          <t>BLEKINGE LÄN</t>
        </is>
      </c>
      <c r="E492" t="inlineStr">
        <is>
          <t>KARLSKRONA</t>
        </is>
      </c>
      <c r="G492" t="n">
        <v>0.6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22869-2025</t>
        </is>
      </c>
      <c r="B493" s="1" t="n">
        <v>45790.36726851852</v>
      </c>
      <c r="C493" s="1" t="n">
        <v>46100</v>
      </c>
      <c r="D493" t="inlineStr">
        <is>
          <t>BLEKINGE LÄN</t>
        </is>
      </c>
      <c r="E493" t="inlineStr">
        <is>
          <t>KARLSKRONA</t>
        </is>
      </c>
      <c r="G493" t="n">
        <v>2.4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50897-2023</t>
        </is>
      </c>
      <c r="B494" s="1" t="n">
        <v>45218.40603009259</v>
      </c>
      <c r="C494" s="1" t="n">
        <v>46100</v>
      </c>
      <c r="D494" t="inlineStr">
        <is>
          <t>BLEKINGE LÄN</t>
        </is>
      </c>
      <c r="E494" t="inlineStr">
        <is>
          <t>KARLSKRONA</t>
        </is>
      </c>
      <c r="G494" t="n">
        <v>2.4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34283-2023</t>
        </is>
      </c>
      <c r="B495" s="1" t="n">
        <v>45127</v>
      </c>
      <c r="C495" s="1" t="n">
        <v>46100</v>
      </c>
      <c r="D495" t="inlineStr">
        <is>
          <t>BLEKINGE LÄN</t>
        </is>
      </c>
      <c r="E495" t="inlineStr">
        <is>
          <t>KARLSKRONA</t>
        </is>
      </c>
      <c r="G495" t="n">
        <v>1.3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32362-2024</t>
        </is>
      </c>
      <c r="B496" s="1" t="n">
        <v>45512</v>
      </c>
      <c r="C496" s="1" t="n">
        <v>46100</v>
      </c>
      <c r="D496" t="inlineStr">
        <is>
          <t>BLEKINGE LÄN</t>
        </is>
      </c>
      <c r="E496" t="inlineStr">
        <is>
          <t>KARLSKRONA</t>
        </is>
      </c>
      <c r="G496" t="n">
        <v>5.3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3831-2025</t>
        </is>
      </c>
      <c r="B497" s="1" t="n">
        <v>45681.87600694445</v>
      </c>
      <c r="C497" s="1" t="n">
        <v>46100</v>
      </c>
      <c r="D497" t="inlineStr">
        <is>
          <t>BLEKINGE LÄN</t>
        </is>
      </c>
      <c r="E497" t="inlineStr">
        <is>
          <t>KARLSKRONA</t>
        </is>
      </c>
      <c r="G497" t="n">
        <v>1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39381-2023</t>
        </is>
      </c>
      <c r="B498" s="1" t="n">
        <v>45166.6434375</v>
      </c>
      <c r="C498" s="1" t="n">
        <v>46100</v>
      </c>
      <c r="D498" t="inlineStr">
        <is>
          <t>BLEKINGE LÄN</t>
        </is>
      </c>
      <c r="E498" t="inlineStr">
        <is>
          <t>KARLSKRONA</t>
        </is>
      </c>
      <c r="G498" t="n">
        <v>7.1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8327-2023</t>
        </is>
      </c>
      <c r="B499" s="1" t="n">
        <v>44974.82748842592</v>
      </c>
      <c r="C499" s="1" t="n">
        <v>46100</v>
      </c>
      <c r="D499" t="inlineStr">
        <is>
          <t>BLEKINGE LÄN</t>
        </is>
      </c>
      <c r="E499" t="inlineStr">
        <is>
          <t>KARLSKRONA</t>
        </is>
      </c>
      <c r="G499" t="n">
        <v>4.8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50354-2024</t>
        </is>
      </c>
      <c r="B500" s="1" t="n">
        <v>45600</v>
      </c>
      <c r="C500" s="1" t="n">
        <v>46100</v>
      </c>
      <c r="D500" t="inlineStr">
        <is>
          <t>BLEKINGE LÄN</t>
        </is>
      </c>
      <c r="E500" t="inlineStr">
        <is>
          <t>KARLSKRONA</t>
        </is>
      </c>
      <c r="G500" t="n">
        <v>2.2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57328-2023</t>
        </is>
      </c>
      <c r="B501" s="1" t="n">
        <v>45245.655</v>
      </c>
      <c r="C501" s="1" t="n">
        <v>46100</v>
      </c>
      <c r="D501" t="inlineStr">
        <is>
          <t>BLEKINGE LÄN</t>
        </is>
      </c>
      <c r="E501" t="inlineStr">
        <is>
          <t>KARLSKRONA</t>
        </is>
      </c>
      <c r="G501" t="n">
        <v>1.2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71708-2021</t>
        </is>
      </c>
      <c r="B502" s="1" t="n">
        <v>44543</v>
      </c>
      <c r="C502" s="1" t="n">
        <v>46100</v>
      </c>
      <c r="D502" t="inlineStr">
        <is>
          <t>BLEKINGE LÄN</t>
        </is>
      </c>
      <c r="E502" t="inlineStr">
        <is>
          <t>KARLSKRONA</t>
        </is>
      </c>
      <c r="G502" t="n">
        <v>9.4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48013-2023</t>
        </is>
      </c>
      <c r="B503" s="1" t="n">
        <v>45204</v>
      </c>
      <c r="C503" s="1" t="n">
        <v>46100</v>
      </c>
      <c r="D503" t="inlineStr">
        <is>
          <t>BLEKINGE LÄN</t>
        </is>
      </c>
      <c r="E503" t="inlineStr">
        <is>
          <t>KARLSKRONA</t>
        </is>
      </c>
      <c r="G503" t="n">
        <v>2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9457-2024</t>
        </is>
      </c>
      <c r="B504" s="1" t="n">
        <v>45358</v>
      </c>
      <c r="C504" s="1" t="n">
        <v>46100</v>
      </c>
      <c r="D504" t="inlineStr">
        <is>
          <t>BLEKINGE LÄN</t>
        </is>
      </c>
      <c r="E504" t="inlineStr">
        <is>
          <t>KARLSKRONA</t>
        </is>
      </c>
      <c r="G504" t="n">
        <v>4.6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60960-2023</t>
        </is>
      </c>
      <c r="B505" s="1" t="n">
        <v>45261.4658449074</v>
      </c>
      <c r="C505" s="1" t="n">
        <v>46100</v>
      </c>
      <c r="D505" t="inlineStr">
        <is>
          <t>BLEKINGE LÄN</t>
        </is>
      </c>
      <c r="E505" t="inlineStr">
        <is>
          <t>KARLSKRONA</t>
        </is>
      </c>
      <c r="G505" t="n">
        <v>1.5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74342-2021</t>
        </is>
      </c>
      <c r="B506" s="1" t="n">
        <v>44559</v>
      </c>
      <c r="C506" s="1" t="n">
        <v>46100</v>
      </c>
      <c r="D506" t="inlineStr">
        <is>
          <t>BLEKINGE LÄN</t>
        </is>
      </c>
      <c r="E506" t="inlineStr">
        <is>
          <t>KARLSKRONA</t>
        </is>
      </c>
      <c r="G506" t="n">
        <v>9.6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35724-2024</t>
        </is>
      </c>
      <c r="B507" s="1" t="n">
        <v>45532</v>
      </c>
      <c r="C507" s="1" t="n">
        <v>46100</v>
      </c>
      <c r="D507" t="inlineStr">
        <is>
          <t>BLEKINGE LÄN</t>
        </is>
      </c>
      <c r="E507" t="inlineStr">
        <is>
          <t>KARLSKRONA</t>
        </is>
      </c>
      <c r="G507" t="n">
        <v>0.5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10576-2024</t>
        </is>
      </c>
      <c r="B508" s="1" t="n">
        <v>45366.65268518519</v>
      </c>
      <c r="C508" s="1" t="n">
        <v>46100</v>
      </c>
      <c r="D508" t="inlineStr">
        <is>
          <t>BLEKINGE LÄN</t>
        </is>
      </c>
      <c r="E508" t="inlineStr">
        <is>
          <t>KARLSKRONA</t>
        </is>
      </c>
      <c r="G508" t="n">
        <v>3.7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23967-2025</t>
        </is>
      </c>
      <c r="B509" s="1" t="n">
        <v>45796.37314814814</v>
      </c>
      <c r="C509" s="1" t="n">
        <v>46100</v>
      </c>
      <c r="D509" t="inlineStr">
        <is>
          <t>BLEKINGE LÄN</t>
        </is>
      </c>
      <c r="E509" t="inlineStr">
        <is>
          <t>KARLSKRONA</t>
        </is>
      </c>
      <c r="G509" t="n">
        <v>1.3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50966-2023</t>
        </is>
      </c>
      <c r="B510" s="1" t="n">
        <v>45218.4927662037</v>
      </c>
      <c r="C510" s="1" t="n">
        <v>46100</v>
      </c>
      <c r="D510" t="inlineStr">
        <is>
          <t>BLEKINGE LÄN</t>
        </is>
      </c>
      <c r="E510" t="inlineStr">
        <is>
          <t>KARLSKRONA</t>
        </is>
      </c>
      <c r="G510" t="n">
        <v>1.7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47336-2023</t>
        </is>
      </c>
      <c r="B511" s="1" t="n">
        <v>45202.53679398148</v>
      </c>
      <c r="C511" s="1" t="n">
        <v>46100</v>
      </c>
      <c r="D511" t="inlineStr">
        <is>
          <t>BLEKINGE LÄN</t>
        </is>
      </c>
      <c r="E511" t="inlineStr">
        <is>
          <t>KARLSKRONA</t>
        </is>
      </c>
      <c r="G511" t="n">
        <v>0.5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24267-2025</t>
        </is>
      </c>
      <c r="B512" s="1" t="n">
        <v>45797.42636574074</v>
      </c>
      <c r="C512" s="1" t="n">
        <v>46100</v>
      </c>
      <c r="D512" t="inlineStr">
        <is>
          <t>BLEKINGE LÄN</t>
        </is>
      </c>
      <c r="E512" t="inlineStr">
        <is>
          <t>KARLSKRONA</t>
        </is>
      </c>
      <c r="G512" t="n">
        <v>0.5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24269-2025</t>
        </is>
      </c>
      <c r="B513" s="1" t="n">
        <v>45797.42967592592</v>
      </c>
      <c r="C513" s="1" t="n">
        <v>46100</v>
      </c>
      <c r="D513" t="inlineStr">
        <is>
          <t>BLEKINGE LÄN</t>
        </is>
      </c>
      <c r="E513" t="inlineStr">
        <is>
          <t>KARLSKRONA</t>
        </is>
      </c>
      <c r="G513" t="n">
        <v>0.5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59884-2023</t>
        </is>
      </c>
      <c r="B514" s="1" t="n">
        <v>45254</v>
      </c>
      <c r="C514" s="1" t="n">
        <v>46100</v>
      </c>
      <c r="D514" t="inlineStr">
        <is>
          <t>BLEKINGE LÄN</t>
        </is>
      </c>
      <c r="E514" t="inlineStr">
        <is>
          <t>KARLSKRONA</t>
        </is>
      </c>
      <c r="G514" t="n">
        <v>1.5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23158-2023</t>
        </is>
      </c>
      <c r="B515" s="1" t="n">
        <v>45075.52633101852</v>
      </c>
      <c r="C515" s="1" t="n">
        <v>46100</v>
      </c>
      <c r="D515" t="inlineStr">
        <is>
          <t>BLEKINGE LÄN</t>
        </is>
      </c>
      <c r="E515" t="inlineStr">
        <is>
          <t>KARLSKRONA</t>
        </is>
      </c>
      <c r="G515" t="n">
        <v>0.8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697-2023</t>
        </is>
      </c>
      <c r="B516" s="1" t="n">
        <v>44930</v>
      </c>
      <c r="C516" s="1" t="n">
        <v>46100</v>
      </c>
      <c r="D516" t="inlineStr">
        <is>
          <t>BLEKINGE LÄN</t>
        </is>
      </c>
      <c r="E516" t="inlineStr">
        <is>
          <t>KARLSKRONA</t>
        </is>
      </c>
      <c r="G516" t="n">
        <v>0.8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36577-2024</t>
        </is>
      </c>
      <c r="B517" s="1" t="n">
        <v>45537.4990625</v>
      </c>
      <c r="C517" s="1" t="n">
        <v>46100</v>
      </c>
      <c r="D517" t="inlineStr">
        <is>
          <t>BLEKINGE LÄN</t>
        </is>
      </c>
      <c r="E517" t="inlineStr">
        <is>
          <t>KARLSKRONA</t>
        </is>
      </c>
      <c r="G517" t="n">
        <v>0.6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24030-2025</t>
        </is>
      </c>
      <c r="B518" s="1" t="n">
        <v>45796.47753472222</v>
      </c>
      <c r="C518" s="1" t="n">
        <v>46100</v>
      </c>
      <c r="D518" t="inlineStr">
        <is>
          <t>BLEKINGE LÄN</t>
        </is>
      </c>
      <c r="E518" t="inlineStr">
        <is>
          <t>KARLSKRONA</t>
        </is>
      </c>
      <c r="G518" t="n">
        <v>1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14618-2023</t>
        </is>
      </c>
      <c r="B519" s="1" t="n">
        <v>45013.65112268519</v>
      </c>
      <c r="C519" s="1" t="n">
        <v>46100</v>
      </c>
      <c r="D519" t="inlineStr">
        <is>
          <t>BLEKINGE LÄN</t>
        </is>
      </c>
      <c r="E519" t="inlineStr">
        <is>
          <t>KARLSKRONA</t>
        </is>
      </c>
      <c r="G519" t="n">
        <v>1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24270-2025</t>
        </is>
      </c>
      <c r="B520" s="1" t="n">
        <v>45797.43391203704</v>
      </c>
      <c r="C520" s="1" t="n">
        <v>46100</v>
      </c>
      <c r="D520" t="inlineStr">
        <is>
          <t>BLEKINGE LÄN</t>
        </is>
      </c>
      <c r="E520" t="inlineStr">
        <is>
          <t>KARLSKRONA</t>
        </is>
      </c>
      <c r="G520" t="n">
        <v>1.6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14648-2023</t>
        </is>
      </c>
      <c r="B521" s="1" t="n">
        <v>45013.82003472222</v>
      </c>
      <c r="C521" s="1" t="n">
        <v>46100</v>
      </c>
      <c r="D521" t="inlineStr">
        <is>
          <t>BLEKINGE LÄN</t>
        </is>
      </c>
      <c r="E521" t="inlineStr">
        <is>
          <t>KARLSKRONA</t>
        </is>
      </c>
      <c r="G521" t="n">
        <v>3.4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16783-2024</t>
        </is>
      </c>
      <c r="B522" s="1" t="n">
        <v>45411.41958333334</v>
      </c>
      <c r="C522" s="1" t="n">
        <v>46100</v>
      </c>
      <c r="D522" t="inlineStr">
        <is>
          <t>BLEKINGE LÄN</t>
        </is>
      </c>
      <c r="E522" t="inlineStr">
        <is>
          <t>KARLSKRONA</t>
        </is>
      </c>
      <c r="G522" t="n">
        <v>1.6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10301-2025</t>
        </is>
      </c>
      <c r="B523" s="1" t="n">
        <v>45720.43899305556</v>
      </c>
      <c r="C523" s="1" t="n">
        <v>46100</v>
      </c>
      <c r="D523" t="inlineStr">
        <is>
          <t>BLEKINGE LÄN</t>
        </is>
      </c>
      <c r="E523" t="inlineStr">
        <is>
          <t>KARLSKRONA</t>
        </is>
      </c>
      <c r="G523" t="n">
        <v>2.7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6238-2025</t>
        </is>
      </c>
      <c r="B524" s="1" t="n">
        <v>45697</v>
      </c>
      <c r="C524" s="1" t="n">
        <v>46100</v>
      </c>
      <c r="D524" t="inlineStr">
        <is>
          <t>BLEKINGE LÄN</t>
        </is>
      </c>
      <c r="E524" t="inlineStr">
        <is>
          <t>KARLSKRONA</t>
        </is>
      </c>
      <c r="G524" t="n">
        <v>0.6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19105-2023</t>
        </is>
      </c>
      <c r="B525" s="1" t="n">
        <v>45048</v>
      </c>
      <c r="C525" s="1" t="n">
        <v>46100</v>
      </c>
      <c r="D525" t="inlineStr">
        <is>
          <t>BLEKINGE LÄN</t>
        </is>
      </c>
      <c r="E525" t="inlineStr">
        <is>
          <t>KARLSKRONA</t>
        </is>
      </c>
      <c r="G525" t="n">
        <v>2.2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8094-2022</t>
        </is>
      </c>
      <c r="B526" s="1" t="n">
        <v>44609.5427199074</v>
      </c>
      <c r="C526" s="1" t="n">
        <v>46100</v>
      </c>
      <c r="D526" t="inlineStr">
        <is>
          <t>BLEKINGE LÄN</t>
        </is>
      </c>
      <c r="E526" t="inlineStr">
        <is>
          <t>KARLSKRONA</t>
        </is>
      </c>
      <c r="F526" t="inlineStr">
        <is>
          <t>Kommuner</t>
        </is>
      </c>
      <c r="G526" t="n">
        <v>2.3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8104-2022</t>
        </is>
      </c>
      <c r="B527" s="1" t="n">
        <v>44609.55334490741</v>
      </c>
      <c r="C527" s="1" t="n">
        <v>46100</v>
      </c>
      <c r="D527" t="inlineStr">
        <is>
          <t>BLEKINGE LÄN</t>
        </is>
      </c>
      <c r="E527" t="inlineStr">
        <is>
          <t>KARLSKRONA</t>
        </is>
      </c>
      <c r="F527" t="inlineStr">
        <is>
          <t>Kommuner</t>
        </is>
      </c>
      <c r="G527" t="n">
        <v>4.3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41204-2022</t>
        </is>
      </c>
      <c r="B528" s="1" t="n">
        <v>44825</v>
      </c>
      <c r="C528" s="1" t="n">
        <v>46100</v>
      </c>
      <c r="D528" t="inlineStr">
        <is>
          <t>BLEKINGE LÄN</t>
        </is>
      </c>
      <c r="E528" t="inlineStr">
        <is>
          <t>KARLSKRONA</t>
        </is>
      </c>
      <c r="G528" t="n">
        <v>0.7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5543-2025</t>
        </is>
      </c>
      <c r="B529" s="1" t="n">
        <v>45693.46003472222</v>
      </c>
      <c r="C529" s="1" t="n">
        <v>46100</v>
      </c>
      <c r="D529" t="inlineStr">
        <is>
          <t>BLEKINGE LÄN</t>
        </is>
      </c>
      <c r="E529" t="inlineStr">
        <is>
          <t>KARLSKRONA</t>
        </is>
      </c>
      <c r="G529" t="n">
        <v>4.8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46096-2024</t>
        </is>
      </c>
      <c r="B530" s="1" t="n">
        <v>45581.36192129629</v>
      </c>
      <c r="C530" s="1" t="n">
        <v>46100</v>
      </c>
      <c r="D530" t="inlineStr">
        <is>
          <t>BLEKINGE LÄN</t>
        </is>
      </c>
      <c r="E530" t="inlineStr">
        <is>
          <t>KARLSKRONA</t>
        </is>
      </c>
      <c r="G530" t="n">
        <v>1.5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24946-2023</t>
        </is>
      </c>
      <c r="B531" s="1" t="n">
        <v>45085</v>
      </c>
      <c r="C531" s="1" t="n">
        <v>46100</v>
      </c>
      <c r="D531" t="inlineStr">
        <is>
          <t>BLEKINGE LÄN</t>
        </is>
      </c>
      <c r="E531" t="inlineStr">
        <is>
          <t>KARLSKRONA</t>
        </is>
      </c>
      <c r="G531" t="n">
        <v>6.2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24948-2023</t>
        </is>
      </c>
      <c r="B532" s="1" t="n">
        <v>45085</v>
      </c>
      <c r="C532" s="1" t="n">
        <v>46100</v>
      </c>
      <c r="D532" t="inlineStr">
        <is>
          <t>BLEKINGE LÄN</t>
        </is>
      </c>
      <c r="E532" t="inlineStr">
        <is>
          <t>KARLSKRONA</t>
        </is>
      </c>
      <c r="G532" t="n">
        <v>2.6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24482-2023</t>
        </is>
      </c>
      <c r="B533" s="1" t="n">
        <v>45082</v>
      </c>
      <c r="C533" s="1" t="n">
        <v>46100</v>
      </c>
      <c r="D533" t="inlineStr">
        <is>
          <t>BLEKINGE LÄN</t>
        </is>
      </c>
      <c r="E533" t="inlineStr">
        <is>
          <t>KARLSKRONA</t>
        </is>
      </c>
      <c r="G533" t="n">
        <v>2.1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8836-2025</t>
        </is>
      </c>
      <c r="B534" s="1" t="n">
        <v>45712.92822916667</v>
      </c>
      <c r="C534" s="1" t="n">
        <v>46100</v>
      </c>
      <c r="D534" t="inlineStr">
        <is>
          <t>BLEKINGE LÄN</t>
        </is>
      </c>
      <c r="E534" t="inlineStr">
        <is>
          <t>KARLSKRONA</t>
        </is>
      </c>
      <c r="G534" t="n">
        <v>2.5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3618-2022</t>
        </is>
      </c>
      <c r="B535" s="1" t="n">
        <v>44586</v>
      </c>
      <c r="C535" s="1" t="n">
        <v>46100</v>
      </c>
      <c r="D535" t="inlineStr">
        <is>
          <t>BLEKINGE LÄN</t>
        </is>
      </c>
      <c r="E535" t="inlineStr">
        <is>
          <t>KARLSKRONA</t>
        </is>
      </c>
      <c r="G535" t="n">
        <v>0.9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14853-2023</t>
        </is>
      </c>
      <c r="B536" s="1" t="n">
        <v>45014.91954861111</v>
      </c>
      <c r="C536" s="1" t="n">
        <v>46100</v>
      </c>
      <c r="D536" t="inlineStr">
        <is>
          <t>BLEKINGE LÄN</t>
        </is>
      </c>
      <c r="E536" t="inlineStr">
        <is>
          <t>KARLSKRONA</t>
        </is>
      </c>
      <c r="G536" t="n">
        <v>1.1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24938-2023</t>
        </is>
      </c>
      <c r="B537" s="1" t="n">
        <v>45085</v>
      </c>
      <c r="C537" s="1" t="n">
        <v>46100</v>
      </c>
      <c r="D537" t="inlineStr">
        <is>
          <t>BLEKINGE LÄN</t>
        </is>
      </c>
      <c r="E537" t="inlineStr">
        <is>
          <t>KARLSKRONA</t>
        </is>
      </c>
      <c r="G537" t="n">
        <v>3.8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12901-2025</t>
        </is>
      </c>
      <c r="B538" s="1" t="n">
        <v>45733</v>
      </c>
      <c r="C538" s="1" t="n">
        <v>46100</v>
      </c>
      <c r="D538" t="inlineStr">
        <is>
          <t>BLEKINGE LÄN</t>
        </is>
      </c>
      <c r="E538" t="inlineStr">
        <is>
          <t>KARLSKRONA</t>
        </is>
      </c>
      <c r="G538" t="n">
        <v>1.5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19678-2025</t>
        </is>
      </c>
      <c r="B539" s="1" t="n">
        <v>45770</v>
      </c>
      <c r="C539" s="1" t="n">
        <v>46100</v>
      </c>
      <c r="D539" t="inlineStr">
        <is>
          <t>BLEKINGE LÄN</t>
        </is>
      </c>
      <c r="E539" t="inlineStr">
        <is>
          <t>KARLSKRONA</t>
        </is>
      </c>
      <c r="G539" t="n">
        <v>1.2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25015-2025</t>
        </is>
      </c>
      <c r="B540" s="1" t="n">
        <v>45799.63540509259</v>
      </c>
      <c r="C540" s="1" t="n">
        <v>46100</v>
      </c>
      <c r="D540" t="inlineStr">
        <is>
          <t>BLEKINGE LÄN</t>
        </is>
      </c>
      <c r="E540" t="inlineStr">
        <is>
          <t>KARLSKRONA</t>
        </is>
      </c>
      <c r="G540" t="n">
        <v>3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39984-2022</t>
        </is>
      </c>
      <c r="B541" s="1" t="n">
        <v>44820</v>
      </c>
      <c r="C541" s="1" t="n">
        <v>46100</v>
      </c>
      <c r="D541" t="inlineStr">
        <is>
          <t>BLEKINGE LÄN</t>
        </is>
      </c>
      <c r="E541" t="inlineStr">
        <is>
          <t>KARLSKRONA</t>
        </is>
      </c>
      <c r="G541" t="n">
        <v>3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58296-2024</t>
        </is>
      </c>
      <c r="B542" s="1" t="n">
        <v>45632.59701388889</v>
      </c>
      <c r="C542" s="1" t="n">
        <v>46100</v>
      </c>
      <c r="D542" t="inlineStr">
        <is>
          <t>BLEKINGE LÄN</t>
        </is>
      </c>
      <c r="E542" t="inlineStr">
        <is>
          <t>KARLSKRONA</t>
        </is>
      </c>
      <c r="G542" t="n">
        <v>1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29911-2023</t>
        </is>
      </c>
      <c r="B543" s="1" t="n">
        <v>45107.66918981481</v>
      </c>
      <c r="C543" s="1" t="n">
        <v>46100</v>
      </c>
      <c r="D543" t="inlineStr">
        <is>
          <t>BLEKINGE LÄN</t>
        </is>
      </c>
      <c r="E543" t="inlineStr">
        <is>
          <t>KARLSKRONA</t>
        </is>
      </c>
      <c r="G543" t="n">
        <v>1.5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24179-2022</t>
        </is>
      </c>
      <c r="B544" s="1" t="n">
        <v>44725</v>
      </c>
      <c r="C544" s="1" t="n">
        <v>46100</v>
      </c>
      <c r="D544" t="inlineStr">
        <is>
          <t>BLEKINGE LÄN</t>
        </is>
      </c>
      <c r="E544" t="inlineStr">
        <is>
          <t>KARLSKRONA</t>
        </is>
      </c>
      <c r="G544" t="n">
        <v>3.3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15583-2025</t>
        </is>
      </c>
      <c r="B545" s="1" t="n">
        <v>45747.84215277778</v>
      </c>
      <c r="C545" s="1" t="n">
        <v>46100</v>
      </c>
      <c r="D545" t="inlineStr">
        <is>
          <t>BLEKINGE LÄN</t>
        </is>
      </c>
      <c r="E545" t="inlineStr">
        <is>
          <t>KARLSKRONA</t>
        </is>
      </c>
      <c r="G545" t="n">
        <v>7.1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43606-2022</t>
        </is>
      </c>
      <c r="B546" s="1" t="n">
        <v>44837</v>
      </c>
      <c r="C546" s="1" t="n">
        <v>46100</v>
      </c>
      <c r="D546" t="inlineStr">
        <is>
          <t>BLEKINGE LÄN</t>
        </is>
      </c>
      <c r="E546" t="inlineStr">
        <is>
          <t>KARLSKRONA</t>
        </is>
      </c>
      <c r="G546" t="n">
        <v>1.9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8946-2022</t>
        </is>
      </c>
      <c r="B547" s="1" t="n">
        <v>44614</v>
      </c>
      <c r="C547" s="1" t="n">
        <v>46100</v>
      </c>
      <c r="D547" t="inlineStr">
        <is>
          <t>BLEKINGE LÄN</t>
        </is>
      </c>
      <c r="E547" t="inlineStr">
        <is>
          <t>KARLSKRONA</t>
        </is>
      </c>
      <c r="G547" t="n">
        <v>0.9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52696-2023</t>
        </is>
      </c>
      <c r="B548" s="1" t="n">
        <v>45225.77278935185</v>
      </c>
      <c r="C548" s="1" t="n">
        <v>46100</v>
      </c>
      <c r="D548" t="inlineStr">
        <is>
          <t>BLEKINGE LÄN</t>
        </is>
      </c>
      <c r="E548" t="inlineStr">
        <is>
          <t>KARLSKRONA</t>
        </is>
      </c>
      <c r="G548" t="n">
        <v>0.5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44211-2024</t>
        </is>
      </c>
      <c r="B549" s="1" t="n">
        <v>45573</v>
      </c>
      <c r="C549" s="1" t="n">
        <v>46100</v>
      </c>
      <c r="D549" t="inlineStr">
        <is>
          <t>BLEKINGE LÄN</t>
        </is>
      </c>
      <c r="E549" t="inlineStr">
        <is>
          <t>KARLSKRONA</t>
        </is>
      </c>
      <c r="G549" t="n">
        <v>4.9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13781-2023</t>
        </is>
      </c>
      <c r="B550" s="1" t="n">
        <v>45007.47481481481</v>
      </c>
      <c r="C550" s="1" t="n">
        <v>46100</v>
      </c>
      <c r="D550" t="inlineStr">
        <is>
          <t>BLEKINGE LÄN</t>
        </is>
      </c>
      <c r="E550" t="inlineStr">
        <is>
          <t>KARLSKRONA</t>
        </is>
      </c>
      <c r="G550" t="n">
        <v>1.9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13786-2023</t>
        </is>
      </c>
      <c r="B551" s="1" t="n">
        <v>45007.48090277778</v>
      </c>
      <c r="C551" s="1" t="n">
        <v>46100</v>
      </c>
      <c r="D551" t="inlineStr">
        <is>
          <t>BLEKINGE LÄN</t>
        </is>
      </c>
      <c r="E551" t="inlineStr">
        <is>
          <t>KARLSKRONA</t>
        </is>
      </c>
      <c r="G551" t="n">
        <v>1.7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42472-2025</t>
        </is>
      </c>
      <c r="B552" s="1" t="n">
        <v>45905.46513888889</v>
      </c>
      <c r="C552" s="1" t="n">
        <v>46100</v>
      </c>
      <c r="D552" t="inlineStr">
        <is>
          <t>BLEKINGE LÄN</t>
        </is>
      </c>
      <c r="E552" t="inlineStr">
        <is>
          <t>KARLSKRONA</t>
        </is>
      </c>
      <c r="G552" t="n">
        <v>3.2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42609-2025</t>
        </is>
      </c>
      <c r="B553" s="1" t="n">
        <v>45905</v>
      </c>
      <c r="C553" s="1" t="n">
        <v>46100</v>
      </c>
      <c r="D553" t="inlineStr">
        <is>
          <t>BLEKINGE LÄN</t>
        </is>
      </c>
      <c r="E553" t="inlineStr">
        <is>
          <t>KARLSKRONA</t>
        </is>
      </c>
      <c r="G553" t="n">
        <v>0.8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2197-2024</t>
        </is>
      </c>
      <c r="B554" s="1" t="n">
        <v>45309.69809027778</v>
      </c>
      <c r="C554" s="1" t="n">
        <v>46100</v>
      </c>
      <c r="D554" t="inlineStr">
        <is>
          <t>BLEKINGE LÄN</t>
        </is>
      </c>
      <c r="E554" t="inlineStr">
        <is>
          <t>KARLSKRONA</t>
        </is>
      </c>
      <c r="G554" t="n">
        <v>1.6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42104-2025</t>
        </is>
      </c>
      <c r="B555" s="1" t="n">
        <v>45903.83215277778</v>
      </c>
      <c r="C555" s="1" t="n">
        <v>46100</v>
      </c>
      <c r="D555" t="inlineStr">
        <is>
          <t>BLEKINGE LÄN</t>
        </is>
      </c>
      <c r="E555" t="inlineStr">
        <is>
          <t>KARLSKRONA</t>
        </is>
      </c>
      <c r="G555" t="n">
        <v>1.3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42622-2025</t>
        </is>
      </c>
      <c r="B556" s="1" t="n">
        <v>45905</v>
      </c>
      <c r="C556" s="1" t="n">
        <v>46100</v>
      </c>
      <c r="D556" t="inlineStr">
        <is>
          <t>BLEKINGE LÄN</t>
        </is>
      </c>
      <c r="E556" t="inlineStr">
        <is>
          <t>KARLSKRONA</t>
        </is>
      </c>
      <c r="G556" t="n">
        <v>2.1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34318-2025</t>
        </is>
      </c>
      <c r="B557" s="1" t="n">
        <v>45846</v>
      </c>
      <c r="C557" s="1" t="n">
        <v>46100</v>
      </c>
      <c r="D557" t="inlineStr">
        <is>
          <t>BLEKINGE LÄN</t>
        </is>
      </c>
      <c r="E557" t="inlineStr">
        <is>
          <t>KARLSKRONA</t>
        </is>
      </c>
      <c r="G557" t="n">
        <v>2.8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65639-2021</t>
        </is>
      </c>
      <c r="B558" s="1" t="n">
        <v>44516</v>
      </c>
      <c r="C558" s="1" t="n">
        <v>46100</v>
      </c>
      <c r="D558" t="inlineStr">
        <is>
          <t>BLEKINGE LÄN</t>
        </is>
      </c>
      <c r="E558" t="inlineStr">
        <is>
          <t>KARLSKRONA</t>
        </is>
      </c>
      <c r="G558" t="n">
        <v>1.9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9586-2025</t>
        </is>
      </c>
      <c r="B559" s="1" t="n">
        <v>45714</v>
      </c>
      <c r="C559" s="1" t="n">
        <v>46100</v>
      </c>
      <c r="D559" t="inlineStr">
        <is>
          <t>BLEKINGE LÄN</t>
        </is>
      </c>
      <c r="E559" t="inlineStr">
        <is>
          <t>KARLSKRONA</t>
        </is>
      </c>
      <c r="G559" t="n">
        <v>12.4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42777-2025</t>
        </is>
      </c>
      <c r="B560" s="1" t="n">
        <v>45908.49148148148</v>
      </c>
      <c r="C560" s="1" t="n">
        <v>46100</v>
      </c>
      <c r="D560" t="inlineStr">
        <is>
          <t>BLEKINGE LÄN</t>
        </is>
      </c>
      <c r="E560" t="inlineStr">
        <is>
          <t>KARLSKRONA</t>
        </is>
      </c>
      <c r="G560" t="n">
        <v>2.2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50015-2023</t>
        </is>
      </c>
      <c r="B561" s="1" t="n">
        <v>45215.46303240741</v>
      </c>
      <c r="C561" s="1" t="n">
        <v>46100</v>
      </c>
      <c r="D561" t="inlineStr">
        <is>
          <t>BLEKINGE LÄN</t>
        </is>
      </c>
      <c r="E561" t="inlineStr">
        <is>
          <t>KARLSKRONA</t>
        </is>
      </c>
      <c r="G561" t="n">
        <v>7.7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58535-2024</t>
        </is>
      </c>
      <c r="B562" s="1" t="n">
        <v>45635</v>
      </c>
      <c r="C562" s="1" t="n">
        <v>46100</v>
      </c>
      <c r="D562" t="inlineStr">
        <is>
          <t>BLEKINGE LÄN</t>
        </is>
      </c>
      <c r="E562" t="inlineStr">
        <is>
          <t>KARLSKRONA</t>
        </is>
      </c>
      <c r="G562" t="n">
        <v>3.2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28458-2022</t>
        </is>
      </c>
      <c r="B563" s="1" t="n">
        <v>44747</v>
      </c>
      <c r="C563" s="1" t="n">
        <v>46100</v>
      </c>
      <c r="D563" t="inlineStr">
        <is>
          <t>BLEKINGE LÄN</t>
        </is>
      </c>
      <c r="E563" t="inlineStr">
        <is>
          <t>KARLSKRONA</t>
        </is>
      </c>
      <c r="G563" t="n">
        <v>1.9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42843-2025</t>
        </is>
      </c>
      <c r="B564" s="1" t="n">
        <v>45908.58891203703</v>
      </c>
      <c r="C564" s="1" t="n">
        <v>46100</v>
      </c>
      <c r="D564" t="inlineStr">
        <is>
          <t>BLEKINGE LÄN</t>
        </is>
      </c>
      <c r="E564" t="inlineStr">
        <is>
          <t>KARLSKRONA</t>
        </is>
      </c>
      <c r="G564" t="n">
        <v>12.7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14511-2023</t>
        </is>
      </c>
      <c r="B565" s="1" t="n">
        <v>45012</v>
      </c>
      <c r="C565" s="1" t="n">
        <v>46100</v>
      </c>
      <c r="D565" t="inlineStr">
        <is>
          <t>BLEKINGE LÄN</t>
        </is>
      </c>
      <c r="E565" t="inlineStr">
        <is>
          <t>KARLSKRONA</t>
        </is>
      </c>
      <c r="G565" t="n">
        <v>1.2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57337-2024</t>
        </is>
      </c>
      <c r="B566" s="1" t="n">
        <v>45629.63384259259</v>
      </c>
      <c r="C566" s="1" t="n">
        <v>46100</v>
      </c>
      <c r="D566" t="inlineStr">
        <is>
          <t>BLEKINGE LÄN</t>
        </is>
      </c>
      <c r="E566" t="inlineStr">
        <is>
          <t>KARLSKRONA</t>
        </is>
      </c>
      <c r="G566" t="n">
        <v>2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5557-2024</t>
        </is>
      </c>
      <c r="B567" s="1" t="n">
        <v>45334</v>
      </c>
      <c r="C567" s="1" t="n">
        <v>46100</v>
      </c>
      <c r="D567" t="inlineStr">
        <is>
          <t>BLEKINGE LÄN</t>
        </is>
      </c>
      <c r="E567" t="inlineStr">
        <is>
          <t>KARLSKRONA</t>
        </is>
      </c>
      <c r="G567" t="n">
        <v>6.1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14362-2024</t>
        </is>
      </c>
      <c r="B568" s="1" t="n">
        <v>45393.93069444445</v>
      </c>
      <c r="C568" s="1" t="n">
        <v>46100</v>
      </c>
      <c r="D568" t="inlineStr">
        <is>
          <t>BLEKINGE LÄN</t>
        </is>
      </c>
      <c r="E568" t="inlineStr">
        <is>
          <t>KARLSKRONA</t>
        </is>
      </c>
      <c r="G568" t="n">
        <v>2.4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39360-2024</t>
        </is>
      </c>
      <c r="B569" s="1" t="n">
        <v>45551</v>
      </c>
      <c r="C569" s="1" t="n">
        <v>46100</v>
      </c>
      <c r="D569" t="inlineStr">
        <is>
          <t>BLEKINGE LÄN</t>
        </is>
      </c>
      <c r="E569" t="inlineStr">
        <is>
          <t>KARLSKRONA</t>
        </is>
      </c>
      <c r="G569" t="n">
        <v>2.8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43595-2025</t>
        </is>
      </c>
      <c r="B570" s="1" t="n">
        <v>45911.66232638889</v>
      </c>
      <c r="C570" s="1" t="n">
        <v>46100</v>
      </c>
      <c r="D570" t="inlineStr">
        <is>
          <t>BLEKINGE LÄN</t>
        </is>
      </c>
      <c r="E570" t="inlineStr">
        <is>
          <t>KARLSKRONA</t>
        </is>
      </c>
      <c r="G570" t="n">
        <v>1.7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43196-2025</t>
        </is>
      </c>
      <c r="B571" s="1" t="n">
        <v>45910.43229166666</v>
      </c>
      <c r="C571" s="1" t="n">
        <v>46100</v>
      </c>
      <c r="D571" t="inlineStr">
        <is>
          <t>BLEKINGE LÄN</t>
        </is>
      </c>
      <c r="E571" t="inlineStr">
        <is>
          <t>KARLSKRONA</t>
        </is>
      </c>
      <c r="G571" t="n">
        <v>3.6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19142-2022</t>
        </is>
      </c>
      <c r="B572" s="1" t="n">
        <v>44691.62384259259</v>
      </c>
      <c r="C572" s="1" t="n">
        <v>46100</v>
      </c>
      <c r="D572" t="inlineStr">
        <is>
          <t>BLEKINGE LÄN</t>
        </is>
      </c>
      <c r="E572" t="inlineStr">
        <is>
          <t>KARLSKRONA</t>
        </is>
      </c>
      <c r="G572" t="n">
        <v>1.7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1909-2024</t>
        </is>
      </c>
      <c r="B573" s="1" t="n">
        <v>45308.40855324074</v>
      </c>
      <c r="C573" s="1" t="n">
        <v>46100</v>
      </c>
      <c r="D573" t="inlineStr">
        <is>
          <t>BLEKINGE LÄN</t>
        </is>
      </c>
      <c r="E573" t="inlineStr">
        <is>
          <t>KARLSKRONA</t>
        </is>
      </c>
      <c r="G573" t="n">
        <v>2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24931-2023</t>
        </is>
      </c>
      <c r="B574" s="1" t="n">
        <v>45085</v>
      </c>
      <c r="C574" s="1" t="n">
        <v>46100</v>
      </c>
      <c r="D574" t="inlineStr">
        <is>
          <t>BLEKINGE LÄN</t>
        </is>
      </c>
      <c r="E574" t="inlineStr">
        <is>
          <t>KARLSKRONA</t>
        </is>
      </c>
      <c r="G574" t="n">
        <v>10.9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35858-2022</t>
        </is>
      </c>
      <c r="B575" s="1" t="n">
        <v>44799</v>
      </c>
      <c r="C575" s="1" t="n">
        <v>46100</v>
      </c>
      <c r="D575" t="inlineStr">
        <is>
          <t>BLEKINGE LÄN</t>
        </is>
      </c>
      <c r="E575" t="inlineStr">
        <is>
          <t>KARLSKRONA</t>
        </is>
      </c>
      <c r="G575" t="n">
        <v>2.7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12698-2022</t>
        </is>
      </c>
      <c r="B576" s="1" t="n">
        <v>44641.60950231482</v>
      </c>
      <c r="C576" s="1" t="n">
        <v>46100</v>
      </c>
      <c r="D576" t="inlineStr">
        <is>
          <t>BLEKINGE LÄN</t>
        </is>
      </c>
      <c r="E576" t="inlineStr">
        <is>
          <t>KARLSKRONA</t>
        </is>
      </c>
      <c r="G576" t="n">
        <v>2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18242-2021</t>
        </is>
      </c>
      <c r="B577" s="1" t="n">
        <v>44302</v>
      </c>
      <c r="C577" s="1" t="n">
        <v>46100</v>
      </c>
      <c r="D577" t="inlineStr">
        <is>
          <t>BLEKINGE LÄN</t>
        </is>
      </c>
      <c r="E577" t="inlineStr">
        <is>
          <t>KARLSKRONA</t>
        </is>
      </c>
      <c r="G577" t="n">
        <v>2.6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42074-2023</t>
        </is>
      </c>
      <c r="B578" s="1" t="n">
        <v>45174</v>
      </c>
      <c r="C578" s="1" t="n">
        <v>46100</v>
      </c>
      <c r="D578" t="inlineStr">
        <is>
          <t>BLEKINGE LÄN</t>
        </is>
      </c>
      <c r="E578" t="inlineStr">
        <is>
          <t>KARLSKRONA</t>
        </is>
      </c>
      <c r="G578" t="n">
        <v>2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32327-2024</t>
        </is>
      </c>
      <c r="B579" s="1" t="n">
        <v>45512.47371527777</v>
      </c>
      <c r="C579" s="1" t="n">
        <v>46100</v>
      </c>
      <c r="D579" t="inlineStr">
        <is>
          <t>BLEKINGE LÄN</t>
        </is>
      </c>
      <c r="E579" t="inlineStr">
        <is>
          <t>KARLSKRONA</t>
        </is>
      </c>
      <c r="G579" t="n">
        <v>2.8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22096-2024</t>
        </is>
      </c>
      <c r="B580" s="1" t="n">
        <v>45443</v>
      </c>
      <c r="C580" s="1" t="n">
        <v>46100</v>
      </c>
      <c r="D580" t="inlineStr">
        <is>
          <t>BLEKINGE LÄN</t>
        </is>
      </c>
      <c r="E580" t="inlineStr">
        <is>
          <t>KARLSKRONA</t>
        </is>
      </c>
      <c r="G580" t="n">
        <v>1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23592-2023</t>
        </is>
      </c>
      <c r="B581" s="1" t="n">
        <v>45077.43820601852</v>
      </c>
      <c r="C581" s="1" t="n">
        <v>46100</v>
      </c>
      <c r="D581" t="inlineStr">
        <is>
          <t>BLEKINGE LÄN</t>
        </is>
      </c>
      <c r="E581" t="inlineStr">
        <is>
          <t>KARLSKRONA</t>
        </is>
      </c>
      <c r="G581" t="n">
        <v>0.5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36731-2024</t>
        </is>
      </c>
      <c r="B582" s="1" t="n">
        <v>45537.91421296296</v>
      </c>
      <c r="C582" s="1" t="n">
        <v>46100</v>
      </c>
      <c r="D582" t="inlineStr">
        <is>
          <t>BLEKINGE LÄN</t>
        </is>
      </c>
      <c r="E582" t="inlineStr">
        <is>
          <t>KARLSKRONA</t>
        </is>
      </c>
      <c r="G582" t="n">
        <v>0.7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36811-2024</t>
        </is>
      </c>
      <c r="B583" s="1" t="n">
        <v>45538</v>
      </c>
      <c r="C583" s="1" t="n">
        <v>46100</v>
      </c>
      <c r="D583" t="inlineStr">
        <is>
          <t>BLEKINGE LÄN</t>
        </is>
      </c>
      <c r="E583" t="inlineStr">
        <is>
          <t>KARLSKRONA</t>
        </is>
      </c>
      <c r="G583" t="n">
        <v>2.7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14176-2024</t>
        </is>
      </c>
      <c r="B584" s="1" t="n">
        <v>45393.30091435185</v>
      </c>
      <c r="C584" s="1" t="n">
        <v>46100</v>
      </c>
      <c r="D584" t="inlineStr">
        <is>
          <t>BLEKINGE LÄN</t>
        </is>
      </c>
      <c r="E584" t="inlineStr">
        <is>
          <t>KARLSKRONA</t>
        </is>
      </c>
      <c r="G584" t="n">
        <v>1.8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40714-2023</t>
        </is>
      </c>
      <c r="B585" s="1" t="n">
        <v>45170.64689814814</v>
      </c>
      <c r="C585" s="1" t="n">
        <v>46100</v>
      </c>
      <c r="D585" t="inlineStr">
        <is>
          <t>BLEKINGE LÄN</t>
        </is>
      </c>
      <c r="E585" t="inlineStr">
        <is>
          <t>KARLSKRONA</t>
        </is>
      </c>
      <c r="G585" t="n">
        <v>1.1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26790-2021</t>
        </is>
      </c>
      <c r="B586" s="1" t="n">
        <v>44349</v>
      </c>
      <c r="C586" s="1" t="n">
        <v>46100</v>
      </c>
      <c r="D586" t="inlineStr">
        <is>
          <t>BLEKINGE LÄN</t>
        </is>
      </c>
      <c r="E586" t="inlineStr">
        <is>
          <t>KARLSKRONA</t>
        </is>
      </c>
      <c r="G586" t="n">
        <v>1.8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67336-2021</t>
        </is>
      </c>
      <c r="B587" s="1" t="n">
        <v>44523</v>
      </c>
      <c r="C587" s="1" t="n">
        <v>46100</v>
      </c>
      <c r="D587" t="inlineStr">
        <is>
          <t>BLEKINGE LÄN</t>
        </is>
      </c>
      <c r="E587" t="inlineStr">
        <is>
          <t>KARLSKRONA</t>
        </is>
      </c>
      <c r="G587" t="n">
        <v>13.4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39391-2023</t>
        </is>
      </c>
      <c r="B588" s="1" t="n">
        <v>45166.65524305555</v>
      </c>
      <c r="C588" s="1" t="n">
        <v>46100</v>
      </c>
      <c r="D588" t="inlineStr">
        <is>
          <t>BLEKINGE LÄN</t>
        </is>
      </c>
      <c r="E588" t="inlineStr">
        <is>
          <t>KARLSKRONA</t>
        </is>
      </c>
      <c r="G588" t="n">
        <v>11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12517-2022</t>
        </is>
      </c>
      <c r="B589" s="1" t="n">
        <v>44638.56855324074</v>
      </c>
      <c r="C589" s="1" t="n">
        <v>46100</v>
      </c>
      <c r="D589" t="inlineStr">
        <is>
          <t>BLEKINGE LÄN</t>
        </is>
      </c>
      <c r="E589" t="inlineStr">
        <is>
          <t>KARLSKRONA</t>
        </is>
      </c>
      <c r="G589" t="n">
        <v>1.6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58627-2023</t>
        </is>
      </c>
      <c r="B590" s="1" t="n">
        <v>45251.55815972222</v>
      </c>
      <c r="C590" s="1" t="n">
        <v>46100</v>
      </c>
      <c r="D590" t="inlineStr">
        <is>
          <t>BLEKINGE LÄN</t>
        </is>
      </c>
      <c r="E590" t="inlineStr">
        <is>
          <t>KARLSKRONA</t>
        </is>
      </c>
      <c r="G590" t="n">
        <v>0.4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11630-2022</t>
        </is>
      </c>
      <c r="B591" s="1" t="n">
        <v>44631.65131944444</v>
      </c>
      <c r="C591" s="1" t="n">
        <v>46100</v>
      </c>
      <c r="D591" t="inlineStr">
        <is>
          <t>BLEKINGE LÄN</t>
        </is>
      </c>
      <c r="E591" t="inlineStr">
        <is>
          <t>KARLSKRONA</t>
        </is>
      </c>
      <c r="G591" t="n">
        <v>0.9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25455-2024</t>
        </is>
      </c>
      <c r="B592" s="1" t="n">
        <v>45463.42392361111</v>
      </c>
      <c r="C592" s="1" t="n">
        <v>46100</v>
      </c>
      <c r="D592" t="inlineStr">
        <is>
          <t>BLEKINGE LÄN</t>
        </is>
      </c>
      <c r="E592" t="inlineStr">
        <is>
          <t>KARLSKRONA</t>
        </is>
      </c>
      <c r="G592" t="n">
        <v>2.5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25458-2024</t>
        </is>
      </c>
      <c r="B593" s="1" t="n">
        <v>45463.42876157408</v>
      </c>
      <c r="C593" s="1" t="n">
        <v>46100</v>
      </c>
      <c r="D593" t="inlineStr">
        <is>
          <t>BLEKINGE LÄN</t>
        </is>
      </c>
      <c r="E593" t="inlineStr">
        <is>
          <t>KARLSKRONA</t>
        </is>
      </c>
      <c r="G593" t="n">
        <v>2.3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19084-2025</t>
        </is>
      </c>
      <c r="B594" s="1" t="n">
        <v>45766</v>
      </c>
      <c r="C594" s="1" t="n">
        <v>46100</v>
      </c>
      <c r="D594" t="inlineStr">
        <is>
          <t>BLEKINGE LÄN</t>
        </is>
      </c>
      <c r="E594" t="inlineStr">
        <is>
          <t>KARLSKRONA</t>
        </is>
      </c>
      <c r="G594" t="n">
        <v>1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20527-2023</t>
        </is>
      </c>
      <c r="B595" s="1" t="n">
        <v>45057</v>
      </c>
      <c r="C595" s="1" t="n">
        <v>46100</v>
      </c>
      <c r="D595" t="inlineStr">
        <is>
          <t>BLEKINGE LÄN</t>
        </is>
      </c>
      <c r="E595" t="inlineStr">
        <is>
          <t>KARLSKRONA</t>
        </is>
      </c>
      <c r="G595" t="n">
        <v>1.2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14554-2023</t>
        </is>
      </c>
      <c r="B596" s="1" t="n">
        <v>45013.43306712963</v>
      </c>
      <c r="C596" s="1" t="n">
        <v>46100</v>
      </c>
      <c r="D596" t="inlineStr">
        <is>
          <t>BLEKINGE LÄN</t>
        </is>
      </c>
      <c r="E596" t="inlineStr">
        <is>
          <t>KARLSKRONA</t>
        </is>
      </c>
      <c r="G596" t="n">
        <v>1.8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14557-2023</t>
        </is>
      </c>
      <c r="B597" s="1" t="n">
        <v>45013.43763888889</v>
      </c>
      <c r="C597" s="1" t="n">
        <v>46100</v>
      </c>
      <c r="D597" t="inlineStr">
        <is>
          <t>BLEKINGE LÄN</t>
        </is>
      </c>
      <c r="E597" t="inlineStr">
        <is>
          <t>KARLSKRONA</t>
        </is>
      </c>
      <c r="G597" t="n">
        <v>0.8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29583-2022</t>
        </is>
      </c>
      <c r="B598" s="1" t="n">
        <v>44754</v>
      </c>
      <c r="C598" s="1" t="n">
        <v>46100</v>
      </c>
      <c r="D598" t="inlineStr">
        <is>
          <t>BLEKINGE LÄN</t>
        </is>
      </c>
      <c r="E598" t="inlineStr">
        <is>
          <t>KARLSKRONA</t>
        </is>
      </c>
      <c r="G598" t="n">
        <v>0.9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26602-2025</t>
        </is>
      </c>
      <c r="B599" s="1" t="n">
        <v>45809.60372685185</v>
      </c>
      <c r="C599" s="1" t="n">
        <v>46100</v>
      </c>
      <c r="D599" t="inlineStr">
        <is>
          <t>BLEKINGE LÄN</t>
        </is>
      </c>
      <c r="E599" t="inlineStr">
        <is>
          <t>KARLSKRONA</t>
        </is>
      </c>
      <c r="G599" t="n">
        <v>2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26496-2023</t>
        </is>
      </c>
      <c r="B600" s="1" t="n">
        <v>45092</v>
      </c>
      <c r="C600" s="1" t="n">
        <v>46100</v>
      </c>
      <c r="D600" t="inlineStr">
        <is>
          <t>BLEKINGE LÄN</t>
        </is>
      </c>
      <c r="E600" t="inlineStr">
        <is>
          <t>KARLSKRONA</t>
        </is>
      </c>
      <c r="G600" t="n">
        <v>23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44173-2025</t>
        </is>
      </c>
      <c r="B601" s="1" t="n">
        <v>45915.60363425926</v>
      </c>
      <c r="C601" s="1" t="n">
        <v>46100</v>
      </c>
      <c r="D601" t="inlineStr">
        <is>
          <t>BLEKINGE LÄN</t>
        </is>
      </c>
      <c r="E601" t="inlineStr">
        <is>
          <t>KARLSKRONA</t>
        </is>
      </c>
      <c r="G601" t="n">
        <v>1.7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33161-2023</t>
        </is>
      </c>
      <c r="B602" s="1" t="n">
        <v>45126</v>
      </c>
      <c r="C602" s="1" t="n">
        <v>46100</v>
      </c>
      <c r="D602" t="inlineStr">
        <is>
          <t>BLEKINGE LÄN</t>
        </is>
      </c>
      <c r="E602" t="inlineStr">
        <is>
          <t>KARLSKRONA</t>
        </is>
      </c>
      <c r="G602" t="n">
        <v>1.6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9620-2024</t>
        </is>
      </c>
      <c r="B603" s="1" t="n">
        <v>45361.81741898148</v>
      </c>
      <c r="C603" s="1" t="n">
        <v>46100</v>
      </c>
      <c r="D603" t="inlineStr">
        <is>
          <t>BLEKINGE LÄN</t>
        </is>
      </c>
      <c r="E603" t="inlineStr">
        <is>
          <t>KARLSKRONA</t>
        </is>
      </c>
      <c r="G603" t="n">
        <v>1.7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44180-2025</t>
        </is>
      </c>
      <c r="B604" s="1" t="n">
        <v>45915.60884259259</v>
      </c>
      <c r="C604" s="1" t="n">
        <v>46100</v>
      </c>
      <c r="D604" t="inlineStr">
        <is>
          <t>BLEKINGE LÄN</t>
        </is>
      </c>
      <c r="E604" t="inlineStr">
        <is>
          <t>KARLSKRONA</t>
        </is>
      </c>
      <c r="G604" t="n">
        <v>1.2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41000-2024</t>
        </is>
      </c>
      <c r="B605" s="1" t="n">
        <v>45558</v>
      </c>
      <c r="C605" s="1" t="n">
        <v>46100</v>
      </c>
      <c r="D605" t="inlineStr">
        <is>
          <t>BLEKINGE LÄN</t>
        </is>
      </c>
      <c r="E605" t="inlineStr">
        <is>
          <t>KARLSKRONA</t>
        </is>
      </c>
      <c r="G605" t="n">
        <v>4.2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14131-2023</t>
        </is>
      </c>
      <c r="B606" s="1" t="n">
        <v>45009.46116898148</v>
      </c>
      <c r="C606" s="1" t="n">
        <v>46100</v>
      </c>
      <c r="D606" t="inlineStr">
        <is>
          <t>BLEKINGE LÄN</t>
        </is>
      </c>
      <c r="E606" t="inlineStr">
        <is>
          <t>KARLSKRONA</t>
        </is>
      </c>
      <c r="G606" t="n">
        <v>2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44577-2025</t>
        </is>
      </c>
      <c r="B607" s="1" t="n">
        <v>45917.4018287037</v>
      </c>
      <c r="C607" s="1" t="n">
        <v>46100</v>
      </c>
      <c r="D607" t="inlineStr">
        <is>
          <t>BLEKINGE LÄN</t>
        </is>
      </c>
      <c r="E607" t="inlineStr">
        <is>
          <t>KARLSKRONA</t>
        </is>
      </c>
      <c r="G607" t="n">
        <v>0.5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23819-2024</t>
        </is>
      </c>
      <c r="B608" s="1" t="n">
        <v>45455.45792824074</v>
      </c>
      <c r="C608" s="1" t="n">
        <v>46100</v>
      </c>
      <c r="D608" t="inlineStr">
        <is>
          <t>BLEKINGE LÄN</t>
        </is>
      </c>
      <c r="E608" t="inlineStr">
        <is>
          <t>KARLSKRONA</t>
        </is>
      </c>
      <c r="G608" t="n">
        <v>6.9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44576-2025</t>
        </is>
      </c>
      <c r="B609" s="1" t="n">
        <v>45917.40012731482</v>
      </c>
      <c r="C609" s="1" t="n">
        <v>46100</v>
      </c>
      <c r="D609" t="inlineStr">
        <is>
          <t>BLEKINGE LÄN</t>
        </is>
      </c>
      <c r="E609" t="inlineStr">
        <is>
          <t>KARLSKRONA</t>
        </is>
      </c>
      <c r="G609" t="n">
        <v>2.4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38526-2023</t>
        </is>
      </c>
      <c r="B610" s="1" t="n">
        <v>45162.56537037037</v>
      </c>
      <c r="C610" s="1" t="n">
        <v>46100</v>
      </c>
      <c r="D610" t="inlineStr">
        <is>
          <t>BLEKINGE LÄN</t>
        </is>
      </c>
      <c r="E610" t="inlineStr">
        <is>
          <t>KARLSKRONA</t>
        </is>
      </c>
      <c r="G610" t="n">
        <v>0.8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55434-2023</t>
        </is>
      </c>
      <c r="B611" s="1" t="n">
        <v>45238</v>
      </c>
      <c r="C611" s="1" t="n">
        <v>46100</v>
      </c>
      <c r="D611" t="inlineStr">
        <is>
          <t>BLEKINGE LÄN</t>
        </is>
      </c>
      <c r="E611" t="inlineStr">
        <is>
          <t>KARLSKRONA</t>
        </is>
      </c>
      <c r="G611" t="n">
        <v>4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44579-2025</t>
        </is>
      </c>
      <c r="B612" s="1" t="n">
        <v>45917.40362268518</v>
      </c>
      <c r="C612" s="1" t="n">
        <v>46100</v>
      </c>
      <c r="D612" t="inlineStr">
        <is>
          <t>BLEKINGE LÄN</t>
        </is>
      </c>
      <c r="E612" t="inlineStr">
        <is>
          <t>KARLSKRONA</t>
        </is>
      </c>
      <c r="G612" t="n">
        <v>1.6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44580-2025</t>
        </is>
      </c>
      <c r="B613" s="1" t="n">
        <v>45917.40538194445</v>
      </c>
      <c r="C613" s="1" t="n">
        <v>46100</v>
      </c>
      <c r="D613" t="inlineStr">
        <is>
          <t>BLEKINGE LÄN</t>
        </is>
      </c>
      <c r="E613" t="inlineStr">
        <is>
          <t>KARLSKRONA</t>
        </is>
      </c>
      <c r="G613" t="n">
        <v>1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21589-2025</t>
        </is>
      </c>
      <c r="B614" s="1" t="n">
        <v>45783</v>
      </c>
      <c r="C614" s="1" t="n">
        <v>46100</v>
      </c>
      <c r="D614" t="inlineStr">
        <is>
          <t>BLEKINGE LÄN</t>
        </is>
      </c>
      <c r="E614" t="inlineStr">
        <is>
          <t>KARLSKRONA</t>
        </is>
      </c>
      <c r="G614" t="n">
        <v>11.5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64490-2021</t>
        </is>
      </c>
      <c r="B615" s="1" t="n">
        <v>44511.57038194445</v>
      </c>
      <c r="C615" s="1" t="n">
        <v>46100</v>
      </c>
      <c r="D615" t="inlineStr">
        <is>
          <t>BLEKINGE LÄN</t>
        </is>
      </c>
      <c r="E615" t="inlineStr">
        <is>
          <t>KARLSKRONA</t>
        </is>
      </c>
      <c r="G615" t="n">
        <v>4.2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44617-2025</t>
        </is>
      </c>
      <c r="B616" s="1" t="n">
        <v>45917.45751157407</v>
      </c>
      <c r="C616" s="1" t="n">
        <v>46100</v>
      </c>
      <c r="D616" t="inlineStr">
        <is>
          <t>BLEKINGE LÄN</t>
        </is>
      </c>
      <c r="E616" t="inlineStr">
        <is>
          <t>KARLSKRONA</t>
        </is>
      </c>
      <c r="G616" t="n">
        <v>4.3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45068-2025</t>
        </is>
      </c>
      <c r="B617" s="1" t="n">
        <v>45919.34627314815</v>
      </c>
      <c r="C617" s="1" t="n">
        <v>46100</v>
      </c>
      <c r="D617" t="inlineStr">
        <is>
          <t>BLEKINGE LÄN</t>
        </is>
      </c>
      <c r="E617" t="inlineStr">
        <is>
          <t>KARLSKRONA</t>
        </is>
      </c>
      <c r="G617" t="n">
        <v>0.5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28031-2025</t>
        </is>
      </c>
      <c r="B618" s="1" t="n">
        <v>45817.63003472222</v>
      </c>
      <c r="C618" s="1" t="n">
        <v>46100</v>
      </c>
      <c r="D618" t="inlineStr">
        <is>
          <t>BLEKINGE LÄN</t>
        </is>
      </c>
      <c r="E618" t="inlineStr">
        <is>
          <t>KARLSKRONA</t>
        </is>
      </c>
      <c r="G618" t="n">
        <v>3.1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44989-2025</t>
        </is>
      </c>
      <c r="B619" s="1" t="n">
        <v>45918</v>
      </c>
      <c r="C619" s="1" t="n">
        <v>46100</v>
      </c>
      <c r="D619" t="inlineStr">
        <is>
          <t>BLEKINGE LÄN</t>
        </is>
      </c>
      <c r="E619" t="inlineStr">
        <is>
          <t>KARLSKRONA</t>
        </is>
      </c>
      <c r="G619" t="n">
        <v>2.1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20546-2025</t>
        </is>
      </c>
      <c r="B620" s="1" t="n">
        <v>45775.63248842592</v>
      </c>
      <c r="C620" s="1" t="n">
        <v>46100</v>
      </c>
      <c r="D620" t="inlineStr">
        <is>
          <t>BLEKINGE LÄN</t>
        </is>
      </c>
      <c r="E620" t="inlineStr">
        <is>
          <t>KARLSKRONA</t>
        </is>
      </c>
      <c r="G620" t="n">
        <v>7.6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12030-2022</t>
        </is>
      </c>
      <c r="B621" s="1" t="n">
        <v>44636</v>
      </c>
      <c r="C621" s="1" t="n">
        <v>46100</v>
      </c>
      <c r="D621" t="inlineStr">
        <is>
          <t>BLEKINGE LÄN</t>
        </is>
      </c>
      <c r="E621" t="inlineStr">
        <is>
          <t>KARLSKRONA</t>
        </is>
      </c>
      <c r="G621" t="n">
        <v>1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6852-2024</t>
        </is>
      </c>
      <c r="B622" s="1" t="n">
        <v>45342</v>
      </c>
      <c r="C622" s="1" t="n">
        <v>46100</v>
      </c>
      <c r="D622" t="inlineStr">
        <is>
          <t>BLEKINGE LÄN</t>
        </is>
      </c>
      <c r="E622" t="inlineStr">
        <is>
          <t>KARLSKRONA</t>
        </is>
      </c>
      <c r="G622" t="n">
        <v>6.7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19261-2021</t>
        </is>
      </c>
      <c r="B623" s="1" t="n">
        <v>44309</v>
      </c>
      <c r="C623" s="1" t="n">
        <v>46100</v>
      </c>
      <c r="D623" t="inlineStr">
        <is>
          <t>BLEKINGE LÄN</t>
        </is>
      </c>
      <c r="E623" t="inlineStr">
        <is>
          <t>KARLSKRONA</t>
        </is>
      </c>
      <c r="G623" t="n">
        <v>0.4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2692-2022</t>
        </is>
      </c>
      <c r="B624" s="1" t="n">
        <v>44580</v>
      </c>
      <c r="C624" s="1" t="n">
        <v>46100</v>
      </c>
      <c r="D624" t="inlineStr">
        <is>
          <t>BLEKINGE LÄN</t>
        </is>
      </c>
      <c r="E624" t="inlineStr">
        <is>
          <t>KARLSKRONA</t>
        </is>
      </c>
      <c r="G624" t="n">
        <v>1.5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7997-2025</t>
        </is>
      </c>
      <c r="B625" s="1" t="n">
        <v>45707</v>
      </c>
      <c r="C625" s="1" t="n">
        <v>46100</v>
      </c>
      <c r="D625" t="inlineStr">
        <is>
          <t>BLEKINGE LÄN</t>
        </is>
      </c>
      <c r="E625" t="inlineStr">
        <is>
          <t>KARLSKRONA</t>
        </is>
      </c>
      <c r="G625" t="n">
        <v>2.8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3011-2024</t>
        </is>
      </c>
      <c r="B626" s="1" t="n">
        <v>45315.87924768519</v>
      </c>
      <c r="C626" s="1" t="n">
        <v>46100</v>
      </c>
      <c r="D626" t="inlineStr">
        <is>
          <t>BLEKINGE LÄN</t>
        </is>
      </c>
      <c r="E626" t="inlineStr">
        <is>
          <t>KARLSKRONA</t>
        </is>
      </c>
      <c r="G626" t="n">
        <v>1.4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36582-2024</t>
        </is>
      </c>
      <c r="B627" s="1" t="n">
        <v>45537.50579861111</v>
      </c>
      <c r="C627" s="1" t="n">
        <v>46100</v>
      </c>
      <c r="D627" t="inlineStr">
        <is>
          <t>BLEKINGE LÄN</t>
        </is>
      </c>
      <c r="E627" t="inlineStr">
        <is>
          <t>KARLSKRONA</t>
        </is>
      </c>
      <c r="G627" t="n">
        <v>4.3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18719-2023</t>
        </is>
      </c>
      <c r="B628" s="1" t="n">
        <v>45043.65984953703</v>
      </c>
      <c r="C628" s="1" t="n">
        <v>46100</v>
      </c>
      <c r="D628" t="inlineStr">
        <is>
          <t>BLEKINGE LÄN</t>
        </is>
      </c>
      <c r="E628" t="inlineStr">
        <is>
          <t>KARLSKRONA</t>
        </is>
      </c>
      <c r="G628" t="n">
        <v>1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45070-2025</t>
        </is>
      </c>
      <c r="B629" s="1" t="n">
        <v>45919.34983796296</v>
      </c>
      <c r="C629" s="1" t="n">
        <v>46100</v>
      </c>
      <c r="D629" t="inlineStr">
        <is>
          <t>BLEKINGE LÄN</t>
        </is>
      </c>
      <c r="E629" t="inlineStr">
        <is>
          <t>KARLSKRONA</t>
        </is>
      </c>
      <c r="G629" t="n">
        <v>1.5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27025-2023</t>
        </is>
      </c>
      <c r="B630" s="1" t="n">
        <v>45095.39417824074</v>
      </c>
      <c r="C630" s="1" t="n">
        <v>46100</v>
      </c>
      <c r="D630" t="inlineStr">
        <is>
          <t>BLEKINGE LÄN</t>
        </is>
      </c>
      <c r="E630" t="inlineStr">
        <is>
          <t>KARLSKRONA</t>
        </is>
      </c>
      <c r="G630" t="n">
        <v>3.3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44549-2025</t>
        </is>
      </c>
      <c r="B631" s="1" t="n">
        <v>45917.33334490741</v>
      </c>
      <c r="C631" s="1" t="n">
        <v>46100</v>
      </c>
      <c r="D631" t="inlineStr">
        <is>
          <t>BLEKINGE LÄN</t>
        </is>
      </c>
      <c r="E631" t="inlineStr">
        <is>
          <t>KARLSKRONA</t>
        </is>
      </c>
      <c r="G631" t="n">
        <v>0.6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45770-2025</t>
        </is>
      </c>
      <c r="B632" s="1" t="n">
        <v>45923.53277777778</v>
      </c>
      <c r="C632" s="1" t="n">
        <v>46100</v>
      </c>
      <c r="D632" t="inlineStr">
        <is>
          <t>BLEKINGE LÄN</t>
        </is>
      </c>
      <c r="E632" t="inlineStr">
        <is>
          <t>KARLSKRONA</t>
        </is>
      </c>
      <c r="G632" t="n">
        <v>1.7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45377-2025</t>
        </is>
      </c>
      <c r="B633" s="1" t="n">
        <v>45922</v>
      </c>
      <c r="C633" s="1" t="n">
        <v>46100</v>
      </c>
      <c r="D633" t="inlineStr">
        <is>
          <t>BLEKINGE LÄN</t>
        </is>
      </c>
      <c r="E633" t="inlineStr">
        <is>
          <t>KARLSKRONA</t>
        </is>
      </c>
      <c r="G633" t="n">
        <v>1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45379-2025</t>
        </is>
      </c>
      <c r="B634" s="1" t="n">
        <v>45922.39582175926</v>
      </c>
      <c r="C634" s="1" t="n">
        <v>46100</v>
      </c>
      <c r="D634" t="inlineStr">
        <is>
          <t>BLEKINGE LÄN</t>
        </is>
      </c>
      <c r="E634" t="inlineStr">
        <is>
          <t>KARLSKRONA</t>
        </is>
      </c>
      <c r="G634" t="n">
        <v>1.1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19600-2023</t>
        </is>
      </c>
      <c r="B635" s="1" t="n">
        <v>45050</v>
      </c>
      <c r="C635" s="1" t="n">
        <v>46100</v>
      </c>
      <c r="D635" t="inlineStr">
        <is>
          <t>BLEKINGE LÄN</t>
        </is>
      </c>
      <c r="E635" t="inlineStr">
        <is>
          <t>KARLSKRONA</t>
        </is>
      </c>
      <c r="G635" t="n">
        <v>4.1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45368-2025</t>
        </is>
      </c>
      <c r="B636" s="1" t="n">
        <v>45922</v>
      </c>
      <c r="C636" s="1" t="n">
        <v>46100</v>
      </c>
      <c r="D636" t="inlineStr">
        <is>
          <t>BLEKINGE LÄN</t>
        </is>
      </c>
      <c r="E636" t="inlineStr">
        <is>
          <t>KARLSKRONA</t>
        </is>
      </c>
      <c r="G636" t="n">
        <v>1.9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45722-2025</t>
        </is>
      </c>
      <c r="B637" s="1" t="n">
        <v>45923.44908564815</v>
      </c>
      <c r="C637" s="1" t="n">
        <v>46100</v>
      </c>
      <c r="D637" t="inlineStr">
        <is>
          <t>BLEKINGE LÄN</t>
        </is>
      </c>
      <c r="E637" t="inlineStr">
        <is>
          <t>KARLSKRONA</t>
        </is>
      </c>
      <c r="G637" t="n">
        <v>4.5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45711-2025</t>
        </is>
      </c>
      <c r="B638" s="1" t="n">
        <v>45923.43107638889</v>
      </c>
      <c r="C638" s="1" t="n">
        <v>46100</v>
      </c>
      <c r="D638" t="inlineStr">
        <is>
          <t>BLEKINGE LÄN</t>
        </is>
      </c>
      <c r="E638" t="inlineStr">
        <is>
          <t>KARLSKRONA</t>
        </is>
      </c>
      <c r="G638" t="n">
        <v>2.2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45687-2025</t>
        </is>
      </c>
      <c r="B639" s="1" t="n">
        <v>45923.37813657407</v>
      </c>
      <c r="C639" s="1" t="n">
        <v>46100</v>
      </c>
      <c r="D639" t="inlineStr">
        <is>
          <t>BLEKINGE LÄN</t>
        </is>
      </c>
      <c r="E639" t="inlineStr">
        <is>
          <t>KARLSKRONA</t>
        </is>
      </c>
      <c r="G639" t="n">
        <v>0.9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45682-2025</t>
        </is>
      </c>
      <c r="B640" s="1" t="n">
        <v>45923.37575231482</v>
      </c>
      <c r="C640" s="1" t="n">
        <v>46100</v>
      </c>
      <c r="D640" t="inlineStr">
        <is>
          <t>BLEKINGE LÄN</t>
        </is>
      </c>
      <c r="E640" t="inlineStr">
        <is>
          <t>KARLSKRONA</t>
        </is>
      </c>
      <c r="G640" t="n">
        <v>1.2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45718-2025</t>
        </is>
      </c>
      <c r="B641" s="1" t="n">
        <v>45923.44246527777</v>
      </c>
      <c r="C641" s="1" t="n">
        <v>46100</v>
      </c>
      <c r="D641" t="inlineStr">
        <is>
          <t>BLEKINGE LÄN</t>
        </is>
      </c>
      <c r="E641" t="inlineStr">
        <is>
          <t>KARLSKRONA</t>
        </is>
      </c>
      <c r="G641" t="n">
        <v>1.9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45767-2025</t>
        </is>
      </c>
      <c r="B642" s="1" t="n">
        <v>45923.52947916667</v>
      </c>
      <c r="C642" s="1" t="n">
        <v>46100</v>
      </c>
      <c r="D642" t="inlineStr">
        <is>
          <t>BLEKINGE LÄN</t>
        </is>
      </c>
      <c r="E642" t="inlineStr">
        <is>
          <t>KARLSKRONA</t>
        </is>
      </c>
      <c r="G642" t="n">
        <v>2.2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38788-2025</t>
        </is>
      </c>
      <c r="B643" s="1" t="n">
        <v>45887.44877314815</v>
      </c>
      <c r="C643" s="1" t="n">
        <v>46100</v>
      </c>
      <c r="D643" t="inlineStr">
        <is>
          <t>BLEKINGE LÄN</t>
        </is>
      </c>
      <c r="E643" t="inlineStr">
        <is>
          <t>KARLSKRONA</t>
        </is>
      </c>
      <c r="G643" t="n">
        <v>0.9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15589-2025</t>
        </is>
      </c>
      <c r="B644" s="1" t="n">
        <v>45747.85570601852</v>
      </c>
      <c r="C644" s="1" t="n">
        <v>46100</v>
      </c>
      <c r="D644" t="inlineStr">
        <is>
          <t>BLEKINGE LÄN</t>
        </is>
      </c>
      <c r="E644" t="inlineStr">
        <is>
          <t>KARLSKRONA</t>
        </is>
      </c>
      <c r="G644" t="n">
        <v>4.1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46354-2025</t>
        </is>
      </c>
      <c r="B645" s="1" t="n">
        <v>45925</v>
      </c>
      <c r="C645" s="1" t="n">
        <v>46100</v>
      </c>
      <c r="D645" t="inlineStr">
        <is>
          <t>BLEKINGE LÄN</t>
        </is>
      </c>
      <c r="E645" t="inlineStr">
        <is>
          <t>KARLSKRONA</t>
        </is>
      </c>
      <c r="G645" t="n">
        <v>2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46879-2025</t>
        </is>
      </c>
      <c r="B646" s="1" t="n">
        <v>45928</v>
      </c>
      <c r="C646" s="1" t="n">
        <v>46100</v>
      </c>
      <c r="D646" t="inlineStr">
        <is>
          <t>BLEKINGE LÄN</t>
        </is>
      </c>
      <c r="E646" t="inlineStr">
        <is>
          <t>KARLSKRONA</t>
        </is>
      </c>
      <c r="G646" t="n">
        <v>4.1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46894-2025</t>
        </is>
      </c>
      <c r="B647" s="1" t="n">
        <v>45929.38549768519</v>
      </c>
      <c r="C647" s="1" t="n">
        <v>46100</v>
      </c>
      <c r="D647" t="inlineStr">
        <is>
          <t>BLEKINGE LÄN</t>
        </is>
      </c>
      <c r="E647" t="inlineStr">
        <is>
          <t>KARLSKRONA</t>
        </is>
      </c>
      <c r="G647" t="n">
        <v>1.5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47155-2025</t>
        </is>
      </c>
      <c r="B648" s="1" t="n">
        <v>45929.73125</v>
      </c>
      <c r="C648" s="1" t="n">
        <v>46100</v>
      </c>
      <c r="D648" t="inlineStr">
        <is>
          <t>BLEKINGE LÄN</t>
        </is>
      </c>
      <c r="E648" t="inlineStr">
        <is>
          <t>KARLSKRONA</t>
        </is>
      </c>
      <c r="G648" t="n">
        <v>0.5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47157-2025</t>
        </is>
      </c>
      <c r="B649" s="1" t="n">
        <v>45929.73858796297</v>
      </c>
      <c r="C649" s="1" t="n">
        <v>46100</v>
      </c>
      <c r="D649" t="inlineStr">
        <is>
          <t>BLEKINGE LÄN</t>
        </is>
      </c>
      <c r="E649" t="inlineStr">
        <is>
          <t>KARLSKRONA</t>
        </is>
      </c>
      <c r="G649" t="n">
        <v>0.7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47159-2025</t>
        </is>
      </c>
      <c r="B650" s="1" t="n">
        <v>45929.74033564814</v>
      </c>
      <c r="C650" s="1" t="n">
        <v>46100</v>
      </c>
      <c r="D650" t="inlineStr">
        <is>
          <t>BLEKINGE LÄN</t>
        </is>
      </c>
      <c r="E650" t="inlineStr">
        <is>
          <t>KARLSKRONA</t>
        </is>
      </c>
      <c r="G650" t="n">
        <v>0.5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15221-2021</t>
        </is>
      </c>
      <c r="B651" s="1" t="n">
        <v>44284</v>
      </c>
      <c r="C651" s="1" t="n">
        <v>46100</v>
      </c>
      <c r="D651" t="inlineStr">
        <is>
          <t>BLEKINGE LÄN</t>
        </is>
      </c>
      <c r="E651" t="inlineStr">
        <is>
          <t>KARLSKRONA</t>
        </is>
      </c>
      <c r="G651" t="n">
        <v>12.4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61863-2023</t>
        </is>
      </c>
      <c r="B652" s="1" t="n">
        <v>45266.39803240741</v>
      </c>
      <c r="C652" s="1" t="n">
        <v>46100</v>
      </c>
      <c r="D652" t="inlineStr">
        <is>
          <t>BLEKINGE LÄN</t>
        </is>
      </c>
      <c r="E652" t="inlineStr">
        <is>
          <t>KARLSKRONA</t>
        </is>
      </c>
      <c r="G652" t="n">
        <v>0.6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34813-2024</t>
        </is>
      </c>
      <c r="B653" s="1" t="n">
        <v>45526.70548611111</v>
      </c>
      <c r="C653" s="1" t="n">
        <v>46100</v>
      </c>
      <c r="D653" t="inlineStr">
        <is>
          <t>BLEKINGE LÄN</t>
        </is>
      </c>
      <c r="E653" t="inlineStr">
        <is>
          <t>KARLSKRONA</t>
        </is>
      </c>
      <c r="G653" t="n">
        <v>0.8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46893-2025</t>
        </is>
      </c>
      <c r="B654" s="1" t="n">
        <v>45929.38221064815</v>
      </c>
      <c r="C654" s="1" t="n">
        <v>46100</v>
      </c>
      <c r="D654" t="inlineStr">
        <is>
          <t>BLEKINGE LÄN</t>
        </is>
      </c>
      <c r="E654" t="inlineStr">
        <is>
          <t>KARLSKRONA</t>
        </is>
      </c>
      <c r="G654" t="n">
        <v>1.2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48999-2022</t>
        </is>
      </c>
      <c r="B655" s="1" t="n">
        <v>44860</v>
      </c>
      <c r="C655" s="1" t="n">
        <v>46100</v>
      </c>
      <c r="D655" t="inlineStr">
        <is>
          <t>BLEKINGE LÄN</t>
        </is>
      </c>
      <c r="E655" t="inlineStr">
        <is>
          <t>KARLSKRONA</t>
        </is>
      </c>
      <c r="G655" t="n">
        <v>1.5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33540-2025</t>
        </is>
      </c>
      <c r="B656" s="1" t="n">
        <v>45841</v>
      </c>
      <c r="C656" s="1" t="n">
        <v>46100</v>
      </c>
      <c r="D656" t="inlineStr">
        <is>
          <t>BLEKINGE LÄN</t>
        </is>
      </c>
      <c r="E656" t="inlineStr">
        <is>
          <t>KARLSKRONA</t>
        </is>
      </c>
      <c r="G656" t="n">
        <v>6.5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47114-2025</t>
        </is>
      </c>
      <c r="B657" s="1" t="n">
        <v>45929.67434027778</v>
      </c>
      <c r="C657" s="1" t="n">
        <v>46100</v>
      </c>
      <c r="D657" t="inlineStr">
        <is>
          <t>BLEKINGE LÄN</t>
        </is>
      </c>
      <c r="E657" t="inlineStr">
        <is>
          <t>KARLSKRONA</t>
        </is>
      </c>
      <c r="G657" t="n">
        <v>1.7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29106-2025</t>
        </is>
      </c>
      <c r="B658" s="1" t="n">
        <v>45821.57865740741</v>
      </c>
      <c r="C658" s="1" t="n">
        <v>46100</v>
      </c>
      <c r="D658" t="inlineStr">
        <is>
          <t>BLEKINGE LÄN</t>
        </is>
      </c>
      <c r="E658" t="inlineStr">
        <is>
          <t>KARLSKRONA</t>
        </is>
      </c>
      <c r="G658" t="n">
        <v>2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30956-2023</t>
        </is>
      </c>
      <c r="B659" s="1" t="n">
        <v>45113.47337962963</v>
      </c>
      <c r="C659" s="1" t="n">
        <v>46100</v>
      </c>
      <c r="D659" t="inlineStr">
        <is>
          <t>BLEKINGE LÄN</t>
        </is>
      </c>
      <c r="E659" t="inlineStr">
        <is>
          <t>KARLSKRONA</t>
        </is>
      </c>
      <c r="G659" t="n">
        <v>3.4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54692-2022</t>
        </is>
      </c>
      <c r="B660" s="1" t="n">
        <v>44881</v>
      </c>
      <c r="C660" s="1" t="n">
        <v>46100</v>
      </c>
      <c r="D660" t="inlineStr">
        <is>
          <t>BLEKINGE LÄN</t>
        </is>
      </c>
      <c r="E660" t="inlineStr">
        <is>
          <t>KARLSKRONA</t>
        </is>
      </c>
      <c r="G660" t="n">
        <v>1.6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19604-2023</t>
        </is>
      </c>
      <c r="B661" s="1" t="n">
        <v>45050</v>
      </c>
      <c r="C661" s="1" t="n">
        <v>46100</v>
      </c>
      <c r="D661" t="inlineStr">
        <is>
          <t>BLEKINGE LÄN</t>
        </is>
      </c>
      <c r="E661" t="inlineStr">
        <is>
          <t>KARLSKRONA</t>
        </is>
      </c>
      <c r="G661" t="n">
        <v>4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31296-2023</t>
        </is>
      </c>
      <c r="B662" s="1" t="n">
        <v>45104</v>
      </c>
      <c r="C662" s="1" t="n">
        <v>46100</v>
      </c>
      <c r="D662" t="inlineStr">
        <is>
          <t>BLEKINGE LÄN</t>
        </is>
      </c>
      <c r="E662" t="inlineStr">
        <is>
          <t>KARLSKRONA</t>
        </is>
      </c>
      <c r="G662" t="n">
        <v>3.9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62111-2022</t>
        </is>
      </c>
      <c r="B663" s="1" t="n">
        <v>44920</v>
      </c>
      <c r="C663" s="1" t="n">
        <v>46100</v>
      </c>
      <c r="D663" t="inlineStr">
        <is>
          <t>BLEKINGE LÄN</t>
        </is>
      </c>
      <c r="E663" t="inlineStr">
        <is>
          <t>KARLSKRONA</t>
        </is>
      </c>
      <c r="G663" t="n">
        <v>25.5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58727-2023</t>
        </is>
      </c>
      <c r="B664" s="1" t="n">
        <v>45251.80711805556</v>
      </c>
      <c r="C664" s="1" t="n">
        <v>46100</v>
      </c>
      <c r="D664" t="inlineStr">
        <is>
          <t>BLEKINGE LÄN</t>
        </is>
      </c>
      <c r="E664" t="inlineStr">
        <is>
          <t>KARLSKRONA</t>
        </is>
      </c>
      <c r="G664" t="n">
        <v>0.4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  <row r="665" ht="15" customHeight="1">
      <c r="A665" t="inlineStr">
        <is>
          <t>A 58731-2023</t>
        </is>
      </c>
      <c r="B665" s="1" t="n">
        <v>45251</v>
      </c>
      <c r="C665" s="1" t="n">
        <v>46100</v>
      </c>
      <c r="D665" t="inlineStr">
        <is>
          <t>BLEKINGE LÄN</t>
        </is>
      </c>
      <c r="E665" t="inlineStr">
        <is>
          <t>KARLSKRONA</t>
        </is>
      </c>
      <c r="G665" t="n">
        <v>10.6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</row>
    <row r="666" ht="15" customHeight="1">
      <c r="A666" t="inlineStr">
        <is>
          <t>A 30246-2025</t>
        </is>
      </c>
      <c r="B666" s="1" t="n">
        <v>45827.41166666667</v>
      </c>
      <c r="C666" s="1" t="n">
        <v>46100</v>
      </c>
      <c r="D666" t="inlineStr">
        <is>
          <t>BLEKINGE LÄN</t>
        </is>
      </c>
      <c r="E666" t="inlineStr">
        <is>
          <t>KARLSKRONA</t>
        </is>
      </c>
      <c r="G666" t="n">
        <v>1.9</v>
      </c>
      <c r="H666" t="n">
        <v>0</v>
      </c>
      <c r="I666" t="n">
        <v>0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s="2" t="inlineStr"/>
    </row>
    <row r="667" ht="15" customHeight="1">
      <c r="A667" t="inlineStr">
        <is>
          <t>A 47242-2025</t>
        </is>
      </c>
      <c r="B667" s="1" t="n">
        <v>45930</v>
      </c>
      <c r="C667" s="1" t="n">
        <v>46100</v>
      </c>
      <c r="D667" t="inlineStr">
        <is>
          <t>BLEKINGE LÄN</t>
        </is>
      </c>
      <c r="E667" t="inlineStr">
        <is>
          <t>KARLSKRONA</t>
        </is>
      </c>
      <c r="G667" t="n">
        <v>0.5</v>
      </c>
      <c r="H667" t="n">
        <v>0</v>
      </c>
      <c r="I667" t="n">
        <v>0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s="2" t="inlineStr"/>
    </row>
    <row r="668" ht="15" customHeight="1">
      <c r="A668" t="inlineStr">
        <is>
          <t>A 3315-2024</t>
        </is>
      </c>
      <c r="B668" s="1" t="n">
        <v>45316</v>
      </c>
      <c r="C668" s="1" t="n">
        <v>46100</v>
      </c>
      <c r="D668" t="inlineStr">
        <is>
          <t>BLEKINGE LÄN</t>
        </is>
      </c>
      <c r="E668" t="inlineStr">
        <is>
          <t>KARLSKRONA</t>
        </is>
      </c>
      <c r="G668" t="n">
        <v>0.8</v>
      </c>
      <c r="H668" t="n">
        <v>0</v>
      </c>
      <c r="I668" t="n">
        <v>0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s="2" t="inlineStr"/>
    </row>
    <row r="669" ht="15" customHeight="1">
      <c r="A669" t="inlineStr">
        <is>
          <t>A 9415-2025</t>
        </is>
      </c>
      <c r="B669" s="1" t="n">
        <v>45715.39251157407</v>
      </c>
      <c r="C669" s="1" t="n">
        <v>46100</v>
      </c>
      <c r="D669" t="inlineStr">
        <is>
          <t>BLEKINGE LÄN</t>
        </is>
      </c>
      <c r="E669" t="inlineStr">
        <is>
          <t>KARLSKRONA</t>
        </is>
      </c>
      <c r="G669" t="n">
        <v>0.5</v>
      </c>
      <c r="H669" t="n">
        <v>0</v>
      </c>
      <c r="I669" t="n">
        <v>0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s="2" t="inlineStr"/>
    </row>
    <row r="670" ht="15" customHeight="1">
      <c r="A670" t="inlineStr">
        <is>
          <t>A 29935-2025</t>
        </is>
      </c>
      <c r="B670" s="1" t="n">
        <v>45826.44643518519</v>
      </c>
      <c r="C670" s="1" t="n">
        <v>46100</v>
      </c>
      <c r="D670" t="inlineStr">
        <is>
          <t>BLEKINGE LÄN</t>
        </is>
      </c>
      <c r="E670" t="inlineStr">
        <is>
          <t>KARLSKRONA</t>
        </is>
      </c>
      <c r="G670" t="n">
        <v>1.2</v>
      </c>
      <c r="H670" t="n">
        <v>0</v>
      </c>
      <c r="I670" t="n">
        <v>0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s="2" t="inlineStr"/>
    </row>
    <row r="671" ht="15" customHeight="1">
      <c r="A671" t="inlineStr">
        <is>
          <t>A 30249-2025</t>
        </is>
      </c>
      <c r="B671" s="1" t="n">
        <v>45827.41407407408</v>
      </c>
      <c r="C671" s="1" t="n">
        <v>46100</v>
      </c>
      <c r="D671" t="inlineStr">
        <is>
          <t>BLEKINGE LÄN</t>
        </is>
      </c>
      <c r="E671" t="inlineStr">
        <is>
          <t>KARLSKRONA</t>
        </is>
      </c>
      <c r="G671" t="n">
        <v>1.8</v>
      </c>
      <c r="H671" t="n">
        <v>0</v>
      </c>
      <c r="I671" t="n">
        <v>0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s="2" t="inlineStr"/>
    </row>
    <row r="672" ht="15" customHeight="1">
      <c r="A672" t="inlineStr">
        <is>
          <t>A 58159-2023</t>
        </is>
      </c>
      <c r="B672" s="1" t="n">
        <v>45250.37905092593</v>
      </c>
      <c r="C672" s="1" t="n">
        <v>46100</v>
      </c>
      <c r="D672" t="inlineStr">
        <is>
          <t>BLEKINGE LÄN</t>
        </is>
      </c>
      <c r="E672" t="inlineStr">
        <is>
          <t>KARLSKRONA</t>
        </is>
      </c>
      <c r="G672" t="n">
        <v>1.1</v>
      </c>
      <c r="H672" t="n">
        <v>0</v>
      </c>
      <c r="I672" t="n">
        <v>0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s="2" t="inlineStr"/>
    </row>
    <row r="673" ht="15" customHeight="1">
      <c r="A673" t="inlineStr">
        <is>
          <t>A 41867-2024</t>
        </is>
      </c>
      <c r="B673" s="1" t="n">
        <v>45561</v>
      </c>
      <c r="C673" s="1" t="n">
        <v>46100</v>
      </c>
      <c r="D673" t="inlineStr">
        <is>
          <t>BLEKINGE LÄN</t>
        </is>
      </c>
      <c r="E673" t="inlineStr">
        <is>
          <t>KARLSKRONA</t>
        </is>
      </c>
      <c r="G673" t="n">
        <v>11</v>
      </c>
      <c r="H673" t="n">
        <v>0</v>
      </c>
      <c r="I673" t="n">
        <v>0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s="2" t="inlineStr"/>
    </row>
    <row r="674" ht="15" customHeight="1">
      <c r="A674" t="inlineStr">
        <is>
          <t>A 17305-2025</t>
        </is>
      </c>
      <c r="B674" s="1" t="n">
        <v>45756.60348379629</v>
      </c>
      <c r="C674" s="1" t="n">
        <v>46100</v>
      </c>
      <c r="D674" t="inlineStr">
        <is>
          <t>BLEKINGE LÄN</t>
        </is>
      </c>
      <c r="E674" t="inlineStr">
        <is>
          <t>KARLSKRONA</t>
        </is>
      </c>
      <c r="G674" t="n">
        <v>1.4</v>
      </c>
      <c r="H674" t="n">
        <v>0</v>
      </c>
      <c r="I674" t="n">
        <v>0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s="2" t="inlineStr"/>
    </row>
    <row r="675" ht="15" customHeight="1">
      <c r="A675" t="inlineStr">
        <is>
          <t>A 17309-2025</t>
        </is>
      </c>
      <c r="B675" s="1" t="n">
        <v>45756.60971064815</v>
      </c>
      <c r="C675" s="1" t="n">
        <v>46100</v>
      </c>
      <c r="D675" t="inlineStr">
        <is>
          <t>BLEKINGE LÄN</t>
        </is>
      </c>
      <c r="E675" t="inlineStr">
        <is>
          <t>KARLSKRONA</t>
        </is>
      </c>
      <c r="G675" t="n">
        <v>0.9</v>
      </c>
      <c r="H675" t="n">
        <v>0</v>
      </c>
      <c r="I675" t="n">
        <v>0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s="2" t="inlineStr"/>
    </row>
    <row r="676" ht="15" customHeight="1">
      <c r="A676" t="inlineStr">
        <is>
          <t>A 29938-2025</t>
        </is>
      </c>
      <c r="B676" s="1" t="n">
        <v>45826.44898148148</v>
      </c>
      <c r="C676" s="1" t="n">
        <v>46100</v>
      </c>
      <c r="D676" t="inlineStr">
        <is>
          <t>BLEKINGE LÄN</t>
        </is>
      </c>
      <c r="E676" t="inlineStr">
        <is>
          <t>KARLSKRONA</t>
        </is>
      </c>
      <c r="G676" t="n">
        <v>2.1</v>
      </c>
      <c r="H676" t="n">
        <v>0</v>
      </c>
      <c r="I676" t="n">
        <v>0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s="2" t="inlineStr"/>
    </row>
    <row r="677" ht="15" customHeight="1">
      <c r="A677" t="inlineStr">
        <is>
          <t>A 30275-2025</t>
        </is>
      </c>
      <c r="B677" s="1" t="n">
        <v>45827.45453703704</v>
      </c>
      <c r="C677" s="1" t="n">
        <v>46100</v>
      </c>
      <c r="D677" t="inlineStr">
        <is>
          <t>BLEKINGE LÄN</t>
        </is>
      </c>
      <c r="E677" t="inlineStr">
        <is>
          <t>KARLSKRONA</t>
        </is>
      </c>
      <c r="G677" t="n">
        <v>2</v>
      </c>
      <c r="H677" t="n">
        <v>0</v>
      </c>
      <c r="I677" t="n">
        <v>0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s="2" t="inlineStr"/>
    </row>
    <row r="678" ht="15" customHeight="1">
      <c r="A678" t="inlineStr">
        <is>
          <t>A 20656-2023</t>
        </is>
      </c>
      <c r="B678" s="1" t="n">
        <v>45055</v>
      </c>
      <c r="C678" s="1" t="n">
        <v>46100</v>
      </c>
      <c r="D678" t="inlineStr">
        <is>
          <t>BLEKINGE LÄN</t>
        </is>
      </c>
      <c r="E678" t="inlineStr">
        <is>
          <t>KARLSKRONA</t>
        </is>
      </c>
      <c r="G678" t="n">
        <v>10.6</v>
      </c>
      <c r="H678" t="n">
        <v>0</v>
      </c>
      <c r="I678" t="n">
        <v>0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s="2" t="inlineStr"/>
    </row>
    <row r="679" ht="15" customHeight="1">
      <c r="A679" t="inlineStr">
        <is>
          <t>A 24668-2023</t>
        </is>
      </c>
      <c r="B679" s="1" t="n">
        <v>45084</v>
      </c>
      <c r="C679" s="1" t="n">
        <v>46100</v>
      </c>
      <c r="D679" t="inlineStr">
        <is>
          <t>BLEKINGE LÄN</t>
        </is>
      </c>
      <c r="E679" t="inlineStr">
        <is>
          <t>KARLSKRONA</t>
        </is>
      </c>
      <c r="G679" t="n">
        <v>2.6</v>
      </c>
      <c r="H679" t="n">
        <v>0</v>
      </c>
      <c r="I679" t="n">
        <v>0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s="2" t="inlineStr"/>
    </row>
    <row r="680" ht="15" customHeight="1">
      <c r="A680" t="inlineStr">
        <is>
          <t>A 55147-2021</t>
        </is>
      </c>
      <c r="B680" s="1" t="n">
        <v>44474.8949537037</v>
      </c>
      <c r="C680" s="1" t="n">
        <v>46100</v>
      </c>
      <c r="D680" t="inlineStr">
        <is>
          <t>BLEKINGE LÄN</t>
        </is>
      </c>
      <c r="E680" t="inlineStr">
        <is>
          <t>KARLSKRONA</t>
        </is>
      </c>
      <c r="G680" t="n">
        <v>0.9</v>
      </c>
      <c r="H680" t="n">
        <v>0</v>
      </c>
      <c r="I680" t="n">
        <v>0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s="2" t="inlineStr"/>
    </row>
    <row r="681" ht="15" customHeight="1">
      <c r="A681" t="inlineStr">
        <is>
          <t>A 60924-2024</t>
        </is>
      </c>
      <c r="B681" s="1" t="n">
        <v>45645.3549537037</v>
      </c>
      <c r="C681" s="1" t="n">
        <v>46100</v>
      </c>
      <c r="D681" t="inlineStr">
        <is>
          <t>BLEKINGE LÄN</t>
        </is>
      </c>
      <c r="E681" t="inlineStr">
        <is>
          <t>KARLSKRONA</t>
        </is>
      </c>
      <c r="G681" t="n">
        <v>2.5</v>
      </c>
      <c r="H681" t="n">
        <v>0</v>
      </c>
      <c r="I681" t="n">
        <v>0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s="2" t="inlineStr"/>
    </row>
    <row r="682" ht="15" customHeight="1">
      <c r="A682" t="inlineStr">
        <is>
          <t>A 30247-2025</t>
        </is>
      </c>
      <c r="B682" s="1" t="n">
        <v>45827.41239583334</v>
      </c>
      <c r="C682" s="1" t="n">
        <v>46100</v>
      </c>
      <c r="D682" t="inlineStr">
        <is>
          <t>BLEKINGE LÄN</t>
        </is>
      </c>
      <c r="E682" t="inlineStr">
        <is>
          <t>KARLSKRONA</t>
        </is>
      </c>
      <c r="G682" t="n">
        <v>0.5</v>
      </c>
      <c r="H682" t="n">
        <v>0</v>
      </c>
      <c r="I682" t="n">
        <v>0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s="2" t="inlineStr"/>
    </row>
    <row r="683" ht="15" customHeight="1">
      <c r="A683" t="inlineStr">
        <is>
          <t>A 29977-2025</t>
        </is>
      </c>
      <c r="B683" s="1" t="n">
        <v>45826.49226851852</v>
      </c>
      <c r="C683" s="1" t="n">
        <v>46100</v>
      </c>
      <c r="D683" t="inlineStr">
        <is>
          <t>BLEKINGE LÄN</t>
        </is>
      </c>
      <c r="E683" t="inlineStr">
        <is>
          <t>KARLSKRONA</t>
        </is>
      </c>
      <c r="G683" t="n">
        <v>1</v>
      </c>
      <c r="H683" t="n">
        <v>0</v>
      </c>
      <c r="I683" t="n">
        <v>0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s="2" t="inlineStr"/>
    </row>
    <row r="684" ht="15" customHeight="1">
      <c r="A684" t="inlineStr">
        <is>
          <t>A 51270-2021</t>
        </is>
      </c>
      <c r="B684" s="1" t="n">
        <v>44461</v>
      </c>
      <c r="C684" s="1" t="n">
        <v>46100</v>
      </c>
      <c r="D684" t="inlineStr">
        <is>
          <t>BLEKINGE LÄN</t>
        </is>
      </c>
      <c r="E684" t="inlineStr">
        <is>
          <t>KARLSKRONA</t>
        </is>
      </c>
      <c r="G684" t="n">
        <v>3.9</v>
      </c>
      <c r="H684" t="n">
        <v>0</v>
      </c>
      <c r="I684" t="n">
        <v>0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s="2" t="inlineStr"/>
    </row>
    <row r="685" ht="15" customHeight="1">
      <c r="A685" t="inlineStr">
        <is>
          <t>A 8799-2024</t>
        </is>
      </c>
      <c r="B685" s="1" t="n">
        <v>45335</v>
      </c>
      <c r="C685" s="1" t="n">
        <v>46100</v>
      </c>
      <c r="D685" t="inlineStr">
        <is>
          <t>BLEKINGE LÄN</t>
        </is>
      </c>
      <c r="E685" t="inlineStr">
        <is>
          <t>KARLSKRONA</t>
        </is>
      </c>
      <c r="G685" t="n">
        <v>2</v>
      </c>
      <c r="H685" t="n">
        <v>0</v>
      </c>
      <c r="I685" t="n">
        <v>0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s="2" t="inlineStr"/>
    </row>
    <row r="686" ht="15" customHeight="1">
      <c r="A686" t="inlineStr">
        <is>
          <t>A 47240-2025</t>
        </is>
      </c>
      <c r="B686" s="1" t="n">
        <v>45930</v>
      </c>
      <c r="C686" s="1" t="n">
        <v>46100</v>
      </c>
      <c r="D686" t="inlineStr">
        <is>
          <t>BLEKINGE LÄN</t>
        </is>
      </c>
      <c r="E686" t="inlineStr">
        <is>
          <t>KARLSKRONA</t>
        </is>
      </c>
      <c r="G686" t="n">
        <v>1.6</v>
      </c>
      <c r="H686" t="n">
        <v>0</v>
      </c>
      <c r="I686" t="n">
        <v>0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s="2" t="inlineStr"/>
    </row>
    <row r="687" ht="15" customHeight="1">
      <c r="A687" t="inlineStr">
        <is>
          <t>A 27375-2025</t>
        </is>
      </c>
      <c r="B687" s="1" t="n">
        <v>45812.6565625</v>
      </c>
      <c r="C687" s="1" t="n">
        <v>46100</v>
      </c>
      <c r="D687" t="inlineStr">
        <is>
          <t>BLEKINGE LÄN</t>
        </is>
      </c>
      <c r="E687" t="inlineStr">
        <is>
          <t>KARLSKRONA</t>
        </is>
      </c>
      <c r="G687" t="n">
        <v>1</v>
      </c>
      <c r="H687" t="n">
        <v>0</v>
      </c>
      <c r="I687" t="n">
        <v>0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s="2" t="inlineStr"/>
    </row>
    <row r="688" ht="15" customHeight="1">
      <c r="A688" t="inlineStr">
        <is>
          <t>A 51134-2025</t>
        </is>
      </c>
      <c r="B688" s="1" t="n">
        <v>45947.5568287037</v>
      </c>
      <c r="C688" s="1" t="n">
        <v>46100</v>
      </c>
      <c r="D688" t="inlineStr">
        <is>
          <t>BLEKINGE LÄN</t>
        </is>
      </c>
      <c r="E688" t="inlineStr">
        <is>
          <t>KARLSKRONA</t>
        </is>
      </c>
      <c r="G688" t="n">
        <v>0.6</v>
      </c>
      <c r="H688" t="n">
        <v>0</v>
      </c>
      <c r="I688" t="n">
        <v>0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s="2" t="inlineStr"/>
    </row>
    <row r="689" ht="15" customHeight="1">
      <c r="A689" t="inlineStr">
        <is>
          <t>A 47837-2025</t>
        </is>
      </c>
      <c r="B689" s="1" t="n">
        <v>45931</v>
      </c>
      <c r="C689" s="1" t="n">
        <v>46100</v>
      </c>
      <c r="D689" t="inlineStr">
        <is>
          <t>BLEKINGE LÄN</t>
        </is>
      </c>
      <c r="E689" t="inlineStr">
        <is>
          <t>KARLSKRONA</t>
        </is>
      </c>
      <c r="G689" t="n">
        <v>1</v>
      </c>
      <c r="H689" t="n">
        <v>0</v>
      </c>
      <c r="I689" t="n">
        <v>0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s="2" t="inlineStr"/>
    </row>
    <row r="690" ht="15" customHeight="1">
      <c r="A690" t="inlineStr">
        <is>
          <t>A 72478-2021</t>
        </is>
      </c>
      <c r="B690" s="1" t="n">
        <v>44545.89236111111</v>
      </c>
      <c r="C690" s="1" t="n">
        <v>46100</v>
      </c>
      <c r="D690" t="inlineStr">
        <is>
          <t>BLEKINGE LÄN</t>
        </is>
      </c>
      <c r="E690" t="inlineStr">
        <is>
          <t>KARLSKRONA</t>
        </is>
      </c>
      <c r="G690" t="n">
        <v>1.2</v>
      </c>
      <c r="H690" t="n">
        <v>0</v>
      </c>
      <c r="I690" t="n">
        <v>0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s="2" t="inlineStr"/>
    </row>
    <row r="691" ht="15" customHeight="1">
      <c r="A691" t="inlineStr">
        <is>
          <t>A 30955-2025</t>
        </is>
      </c>
      <c r="B691" s="1" t="n">
        <v>45832.43682870371</v>
      </c>
      <c r="C691" s="1" t="n">
        <v>46100</v>
      </c>
      <c r="D691" t="inlineStr">
        <is>
          <t>BLEKINGE LÄN</t>
        </is>
      </c>
      <c r="E691" t="inlineStr">
        <is>
          <t>KARLSKRONA</t>
        </is>
      </c>
      <c r="G691" t="n">
        <v>3.4</v>
      </c>
      <c r="H691" t="n">
        <v>0</v>
      </c>
      <c r="I691" t="n">
        <v>0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s="2" t="inlineStr"/>
    </row>
    <row r="692" ht="15" customHeight="1">
      <c r="A692" t="inlineStr">
        <is>
          <t>A 47831-2025</t>
        </is>
      </c>
      <c r="B692" s="1" t="n">
        <v>45931</v>
      </c>
      <c r="C692" s="1" t="n">
        <v>46100</v>
      </c>
      <c r="D692" t="inlineStr">
        <is>
          <t>BLEKINGE LÄN</t>
        </is>
      </c>
      <c r="E692" t="inlineStr">
        <is>
          <t>KARLSKRONA</t>
        </is>
      </c>
      <c r="G692" t="n">
        <v>0.8</v>
      </c>
      <c r="H692" t="n">
        <v>0</v>
      </c>
      <c r="I692" t="n">
        <v>0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s="2" t="inlineStr"/>
    </row>
    <row r="693" ht="15" customHeight="1">
      <c r="A693" t="inlineStr">
        <is>
          <t>A 31244-2025</t>
        </is>
      </c>
      <c r="B693" s="1" t="n">
        <v>45832.87938657407</v>
      </c>
      <c r="C693" s="1" t="n">
        <v>46100</v>
      </c>
      <c r="D693" t="inlineStr">
        <is>
          <t>BLEKINGE LÄN</t>
        </is>
      </c>
      <c r="E693" t="inlineStr">
        <is>
          <t>KARLSKRONA</t>
        </is>
      </c>
      <c r="G693" t="n">
        <v>5.6</v>
      </c>
      <c r="H693" t="n">
        <v>0</v>
      </c>
      <c r="I693" t="n">
        <v>0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s="2" t="inlineStr"/>
    </row>
    <row r="694" ht="15" customHeight="1">
      <c r="A694" t="inlineStr">
        <is>
          <t>A 11253-2023</t>
        </is>
      </c>
      <c r="B694" s="1" t="n">
        <v>44988</v>
      </c>
      <c r="C694" s="1" t="n">
        <v>46100</v>
      </c>
      <c r="D694" t="inlineStr">
        <is>
          <t>BLEKINGE LÄN</t>
        </is>
      </c>
      <c r="E694" t="inlineStr">
        <is>
          <t>KARLSKRONA</t>
        </is>
      </c>
      <c r="G694" t="n">
        <v>4.9</v>
      </c>
      <c r="H694" t="n">
        <v>0</v>
      </c>
      <c r="I694" t="n">
        <v>0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s="2" t="inlineStr"/>
    </row>
    <row r="695" ht="15" customHeight="1">
      <c r="A695" t="inlineStr">
        <is>
          <t>A 31076-2025</t>
        </is>
      </c>
      <c r="B695" s="1" t="n">
        <v>45832.58216435185</v>
      </c>
      <c r="C695" s="1" t="n">
        <v>46100</v>
      </c>
      <c r="D695" t="inlineStr">
        <is>
          <t>BLEKINGE LÄN</t>
        </is>
      </c>
      <c r="E695" t="inlineStr">
        <is>
          <t>KARLSKRONA</t>
        </is>
      </c>
      <c r="G695" t="n">
        <v>1.4</v>
      </c>
      <c r="H695" t="n">
        <v>0</v>
      </c>
      <c r="I695" t="n">
        <v>0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s="2" t="inlineStr"/>
    </row>
    <row r="696" ht="15" customHeight="1">
      <c r="A696" t="inlineStr">
        <is>
          <t>A 5458-2023</t>
        </is>
      </c>
      <c r="B696" s="1" t="n">
        <v>44960.28089120371</v>
      </c>
      <c r="C696" s="1" t="n">
        <v>46100</v>
      </c>
      <c r="D696" t="inlineStr">
        <is>
          <t>BLEKINGE LÄN</t>
        </is>
      </c>
      <c r="E696" t="inlineStr">
        <is>
          <t>KARLSKRONA</t>
        </is>
      </c>
      <c r="G696" t="n">
        <v>1.3</v>
      </c>
      <c r="H696" t="n">
        <v>0</v>
      </c>
      <c r="I696" t="n">
        <v>0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s="2" t="inlineStr"/>
    </row>
    <row r="697" ht="15" customHeight="1">
      <c r="A697" t="inlineStr">
        <is>
          <t>A 31084-2025</t>
        </is>
      </c>
      <c r="B697" s="1" t="n">
        <v>45832</v>
      </c>
      <c r="C697" s="1" t="n">
        <v>46100</v>
      </c>
      <c r="D697" t="inlineStr">
        <is>
          <t>BLEKINGE LÄN</t>
        </is>
      </c>
      <c r="E697" t="inlineStr">
        <is>
          <t>KARLSKRONA</t>
        </is>
      </c>
      <c r="G697" t="n">
        <v>2.3</v>
      </c>
      <c r="H697" t="n">
        <v>0</v>
      </c>
      <c r="I697" t="n">
        <v>0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s="2" t="inlineStr"/>
    </row>
    <row r="698" ht="15" customHeight="1">
      <c r="A698" t="inlineStr">
        <is>
          <t>A 10936-2025</t>
        </is>
      </c>
      <c r="B698" s="1" t="n">
        <v>45722</v>
      </c>
      <c r="C698" s="1" t="n">
        <v>46100</v>
      </c>
      <c r="D698" t="inlineStr">
        <is>
          <t>BLEKINGE LÄN</t>
        </is>
      </c>
      <c r="E698" t="inlineStr">
        <is>
          <t>KARLSKRONA</t>
        </is>
      </c>
      <c r="G698" t="n">
        <v>1.8</v>
      </c>
      <c r="H698" t="n">
        <v>0</v>
      </c>
      <c r="I698" t="n">
        <v>0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s="2" t="inlineStr"/>
    </row>
    <row r="699" ht="15" customHeight="1">
      <c r="A699" t="inlineStr">
        <is>
          <t>A 45990-2021</t>
        </is>
      </c>
      <c r="B699" s="1" t="n">
        <v>44441</v>
      </c>
      <c r="C699" s="1" t="n">
        <v>46100</v>
      </c>
      <c r="D699" t="inlineStr">
        <is>
          <t>BLEKINGE LÄN</t>
        </is>
      </c>
      <c r="E699" t="inlineStr">
        <is>
          <t>KARLSKRONA</t>
        </is>
      </c>
      <c r="G699" t="n">
        <v>6.1</v>
      </c>
      <c r="H699" t="n">
        <v>0</v>
      </c>
      <c r="I699" t="n">
        <v>0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s="2" t="inlineStr"/>
    </row>
    <row r="700" ht="15" customHeight="1">
      <c r="A700" t="inlineStr">
        <is>
          <t>A 64056-2023</t>
        </is>
      </c>
      <c r="B700" s="1" t="n">
        <v>45279.34813657407</v>
      </c>
      <c r="C700" s="1" t="n">
        <v>46100</v>
      </c>
      <c r="D700" t="inlineStr">
        <is>
          <t>BLEKINGE LÄN</t>
        </is>
      </c>
      <c r="E700" t="inlineStr">
        <is>
          <t>KARLSKRONA</t>
        </is>
      </c>
      <c r="G700" t="n">
        <v>1.3</v>
      </c>
      <c r="H700" t="n">
        <v>0</v>
      </c>
      <c r="I700" t="n">
        <v>0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s="2" t="inlineStr"/>
    </row>
    <row r="701" ht="15" customHeight="1">
      <c r="A701" t="inlineStr">
        <is>
          <t>A 13533-2024</t>
        </is>
      </c>
      <c r="B701" s="1" t="n">
        <v>45387.88914351852</v>
      </c>
      <c r="C701" s="1" t="n">
        <v>46100</v>
      </c>
      <c r="D701" t="inlineStr">
        <is>
          <t>BLEKINGE LÄN</t>
        </is>
      </c>
      <c r="E701" t="inlineStr">
        <is>
          <t>KARLSKRONA</t>
        </is>
      </c>
      <c r="G701" t="n">
        <v>1.3</v>
      </c>
      <c r="H701" t="n">
        <v>0</v>
      </c>
      <c r="I701" t="n">
        <v>0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s="2" t="inlineStr"/>
    </row>
    <row r="702" ht="15" customHeight="1">
      <c r="A702" t="inlineStr">
        <is>
          <t>A 13377-2024</t>
        </is>
      </c>
      <c r="B702" s="1" t="n">
        <v>45387.37787037037</v>
      </c>
      <c r="C702" s="1" t="n">
        <v>46100</v>
      </c>
      <c r="D702" t="inlineStr">
        <is>
          <t>BLEKINGE LÄN</t>
        </is>
      </c>
      <c r="E702" t="inlineStr">
        <is>
          <t>KARLSKRONA</t>
        </is>
      </c>
      <c r="G702" t="n">
        <v>3</v>
      </c>
      <c r="H702" t="n">
        <v>0</v>
      </c>
      <c r="I702" t="n">
        <v>0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s="2" t="inlineStr"/>
    </row>
    <row r="703" ht="15" customHeight="1">
      <c r="A703" t="inlineStr">
        <is>
          <t>A 24328-2023</t>
        </is>
      </c>
      <c r="B703" s="1" t="n">
        <v>45080</v>
      </c>
      <c r="C703" s="1" t="n">
        <v>46100</v>
      </c>
      <c r="D703" t="inlineStr">
        <is>
          <t>BLEKINGE LÄN</t>
        </is>
      </c>
      <c r="E703" t="inlineStr">
        <is>
          <t>KARLSKRONA</t>
        </is>
      </c>
      <c r="G703" t="n">
        <v>0.5</v>
      </c>
      <c r="H703" t="n">
        <v>0</v>
      </c>
      <c r="I703" t="n">
        <v>0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s="2" t="inlineStr"/>
    </row>
    <row r="704" ht="15" customHeight="1">
      <c r="A704" t="inlineStr">
        <is>
          <t>A 55374-2023</t>
        </is>
      </c>
      <c r="B704" s="1" t="n">
        <v>45238.3500462963</v>
      </c>
      <c r="C704" s="1" t="n">
        <v>46100</v>
      </c>
      <c r="D704" t="inlineStr">
        <is>
          <t>BLEKINGE LÄN</t>
        </is>
      </c>
      <c r="E704" t="inlineStr">
        <is>
          <t>KARLSKRONA</t>
        </is>
      </c>
      <c r="G704" t="n">
        <v>0.9</v>
      </c>
      <c r="H704" t="n">
        <v>0</v>
      </c>
      <c r="I704" t="n">
        <v>0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s="2" t="inlineStr"/>
    </row>
    <row r="705" ht="15" customHeight="1">
      <c r="A705" t="inlineStr">
        <is>
          <t>A 57841-2023</t>
        </is>
      </c>
      <c r="B705" s="1" t="n">
        <v>45247</v>
      </c>
      <c r="C705" s="1" t="n">
        <v>46100</v>
      </c>
      <c r="D705" t="inlineStr">
        <is>
          <t>BLEKINGE LÄN</t>
        </is>
      </c>
      <c r="E705" t="inlineStr">
        <is>
          <t>KARLSKRONA</t>
        </is>
      </c>
      <c r="G705" t="n">
        <v>0.7</v>
      </c>
      <c r="H705" t="n">
        <v>0</v>
      </c>
      <c r="I705" t="n">
        <v>0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s="2" t="inlineStr"/>
    </row>
    <row r="706" ht="15" customHeight="1">
      <c r="A706" t="inlineStr">
        <is>
          <t>A 32215-2025</t>
        </is>
      </c>
      <c r="B706" s="1" t="n">
        <v>45835.58707175926</v>
      </c>
      <c r="C706" s="1" t="n">
        <v>46100</v>
      </c>
      <c r="D706" t="inlineStr">
        <is>
          <t>BLEKINGE LÄN</t>
        </is>
      </c>
      <c r="E706" t="inlineStr">
        <is>
          <t>KARLSKRONA</t>
        </is>
      </c>
      <c r="G706" t="n">
        <v>2.6</v>
      </c>
      <c r="H706" t="n">
        <v>0</v>
      </c>
      <c r="I706" t="n">
        <v>0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s="2" t="inlineStr"/>
    </row>
    <row r="707" ht="15" customHeight="1">
      <c r="A707" t="inlineStr">
        <is>
          <t>A 45482-2024</t>
        </is>
      </c>
      <c r="B707" s="1" t="n">
        <v>45576.86913194445</v>
      </c>
      <c r="C707" s="1" t="n">
        <v>46100</v>
      </c>
      <c r="D707" t="inlineStr">
        <is>
          <t>BLEKINGE LÄN</t>
        </is>
      </c>
      <c r="E707" t="inlineStr">
        <is>
          <t>KARLSKRONA</t>
        </is>
      </c>
      <c r="G707" t="n">
        <v>2.7</v>
      </c>
      <c r="H707" t="n">
        <v>0</v>
      </c>
      <c r="I707" t="n">
        <v>0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0</v>
      </c>
      <c r="R707" s="2" t="inlineStr"/>
    </row>
    <row r="708" ht="15" customHeight="1">
      <c r="A708" t="inlineStr">
        <is>
          <t>A 56335-2023</t>
        </is>
      </c>
      <c r="B708" s="1" t="n">
        <v>45243.34587962963</v>
      </c>
      <c r="C708" s="1" t="n">
        <v>46100</v>
      </c>
      <c r="D708" t="inlineStr">
        <is>
          <t>BLEKINGE LÄN</t>
        </is>
      </c>
      <c r="E708" t="inlineStr">
        <is>
          <t>KARLSKRONA</t>
        </is>
      </c>
      <c r="G708" t="n">
        <v>3.3</v>
      </c>
      <c r="H708" t="n">
        <v>0</v>
      </c>
      <c r="I708" t="n">
        <v>0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0</v>
      </c>
      <c r="P708" t="n">
        <v>0</v>
      </c>
      <c r="Q708" t="n">
        <v>0</v>
      </c>
      <c r="R708" s="2" t="inlineStr"/>
    </row>
    <row r="709" ht="15" customHeight="1">
      <c r="A709" t="inlineStr">
        <is>
          <t>A 32956-2025</t>
        </is>
      </c>
      <c r="B709" s="1" t="n">
        <v>45839.70422453704</v>
      </c>
      <c r="C709" s="1" t="n">
        <v>46100</v>
      </c>
      <c r="D709" t="inlineStr">
        <is>
          <t>BLEKINGE LÄN</t>
        </is>
      </c>
      <c r="E709" t="inlineStr">
        <is>
          <t>KARLSKRONA</t>
        </is>
      </c>
      <c r="G709" t="n">
        <v>1.5</v>
      </c>
      <c r="H709" t="n">
        <v>0</v>
      </c>
      <c r="I709" t="n">
        <v>0</v>
      </c>
      <c r="J709" t="n">
        <v>0</v>
      </c>
      <c r="K709" t="n">
        <v>0</v>
      </c>
      <c r="L709" t="n">
        <v>0</v>
      </c>
      <c r="M709" t="n">
        <v>0</v>
      </c>
      <c r="N709" t="n">
        <v>0</v>
      </c>
      <c r="O709" t="n">
        <v>0</v>
      </c>
      <c r="P709" t="n">
        <v>0</v>
      </c>
      <c r="Q709" t="n">
        <v>0</v>
      </c>
      <c r="R709" s="2" t="inlineStr"/>
    </row>
    <row r="710" ht="15" customHeight="1">
      <c r="A710" t="inlineStr">
        <is>
          <t>A 32957-2025</t>
        </is>
      </c>
      <c r="B710" s="1" t="n">
        <v>45839.706875</v>
      </c>
      <c r="C710" s="1" t="n">
        <v>46100</v>
      </c>
      <c r="D710" t="inlineStr">
        <is>
          <t>BLEKINGE LÄN</t>
        </is>
      </c>
      <c r="E710" t="inlineStr">
        <is>
          <t>KARLSKRONA</t>
        </is>
      </c>
      <c r="G710" t="n">
        <v>0.9</v>
      </c>
      <c r="H710" t="n">
        <v>0</v>
      </c>
      <c r="I710" t="n">
        <v>0</v>
      </c>
      <c r="J710" t="n">
        <v>0</v>
      </c>
      <c r="K710" t="n">
        <v>0</v>
      </c>
      <c r="L710" t="n">
        <v>0</v>
      </c>
      <c r="M710" t="n">
        <v>0</v>
      </c>
      <c r="N710" t="n">
        <v>0</v>
      </c>
      <c r="O710" t="n">
        <v>0</v>
      </c>
      <c r="P710" t="n">
        <v>0</v>
      </c>
      <c r="Q710" t="n">
        <v>0</v>
      </c>
      <c r="R710" s="2" t="inlineStr"/>
    </row>
    <row r="711" ht="15" customHeight="1">
      <c r="A711" t="inlineStr">
        <is>
          <t>A 32786-2025</t>
        </is>
      </c>
      <c r="B711" s="1" t="n">
        <v>45839</v>
      </c>
      <c r="C711" s="1" t="n">
        <v>46100</v>
      </c>
      <c r="D711" t="inlineStr">
        <is>
          <t>BLEKINGE LÄN</t>
        </is>
      </c>
      <c r="E711" t="inlineStr">
        <is>
          <t>KARLSKRONA</t>
        </is>
      </c>
      <c r="F711" t="inlineStr">
        <is>
          <t>Kommuner</t>
        </is>
      </c>
      <c r="G711" t="n">
        <v>2.8</v>
      </c>
      <c r="H711" t="n">
        <v>0</v>
      </c>
      <c r="I711" t="n">
        <v>0</v>
      </c>
      <c r="J711" t="n">
        <v>0</v>
      </c>
      <c r="K711" t="n">
        <v>0</v>
      </c>
      <c r="L711" t="n">
        <v>0</v>
      </c>
      <c r="M711" t="n">
        <v>0</v>
      </c>
      <c r="N711" t="n">
        <v>0</v>
      </c>
      <c r="O711" t="n">
        <v>0</v>
      </c>
      <c r="P711" t="n">
        <v>0</v>
      </c>
      <c r="Q711" t="n">
        <v>0</v>
      </c>
      <c r="R711" s="2" t="inlineStr"/>
    </row>
    <row r="712" ht="15" customHeight="1">
      <c r="A712" t="inlineStr">
        <is>
          <t>A 44471-2021</t>
        </is>
      </c>
      <c r="B712" s="1" t="n">
        <v>44435</v>
      </c>
      <c r="C712" s="1" t="n">
        <v>46100</v>
      </c>
      <c r="D712" t="inlineStr">
        <is>
          <t>BLEKINGE LÄN</t>
        </is>
      </c>
      <c r="E712" t="inlineStr">
        <is>
          <t>KARLSKRONA</t>
        </is>
      </c>
      <c r="G712" t="n">
        <v>3</v>
      </c>
      <c r="H712" t="n">
        <v>0</v>
      </c>
      <c r="I712" t="n">
        <v>0</v>
      </c>
      <c r="J712" t="n">
        <v>0</v>
      </c>
      <c r="K712" t="n">
        <v>0</v>
      </c>
      <c r="L712" t="n">
        <v>0</v>
      </c>
      <c r="M712" t="n">
        <v>0</v>
      </c>
      <c r="N712" t="n">
        <v>0</v>
      </c>
      <c r="O712" t="n">
        <v>0</v>
      </c>
      <c r="P712" t="n">
        <v>0</v>
      </c>
      <c r="Q712" t="n">
        <v>0</v>
      </c>
      <c r="R712" s="2" t="inlineStr"/>
    </row>
    <row r="713" ht="15" customHeight="1">
      <c r="A713" t="inlineStr">
        <is>
          <t>A 32680-2025</t>
        </is>
      </c>
      <c r="B713" s="1" t="n">
        <v>45838</v>
      </c>
      <c r="C713" s="1" t="n">
        <v>46100</v>
      </c>
      <c r="D713" t="inlineStr">
        <is>
          <t>BLEKINGE LÄN</t>
        </is>
      </c>
      <c r="E713" t="inlineStr">
        <is>
          <t>KARLSKRONA</t>
        </is>
      </c>
      <c r="G713" t="n">
        <v>2.3</v>
      </c>
      <c r="H713" t="n">
        <v>0</v>
      </c>
      <c r="I713" t="n">
        <v>0</v>
      </c>
      <c r="J713" t="n">
        <v>0</v>
      </c>
      <c r="K713" t="n">
        <v>0</v>
      </c>
      <c r="L713" t="n">
        <v>0</v>
      </c>
      <c r="M713" t="n">
        <v>0</v>
      </c>
      <c r="N713" t="n">
        <v>0</v>
      </c>
      <c r="O713" t="n">
        <v>0</v>
      </c>
      <c r="P713" t="n">
        <v>0</v>
      </c>
      <c r="Q713" t="n">
        <v>0</v>
      </c>
      <c r="R713" s="2" t="inlineStr"/>
    </row>
    <row r="714" ht="15" customHeight="1">
      <c r="A714" t="inlineStr">
        <is>
          <t>A 29121-2023</t>
        </is>
      </c>
      <c r="B714" s="1" t="n">
        <v>45105.41936342593</v>
      </c>
      <c r="C714" s="1" t="n">
        <v>46100</v>
      </c>
      <c r="D714" t="inlineStr">
        <is>
          <t>BLEKINGE LÄN</t>
        </is>
      </c>
      <c r="E714" t="inlineStr">
        <is>
          <t>KARLSKRONA</t>
        </is>
      </c>
      <c r="G714" t="n">
        <v>0.5</v>
      </c>
      <c r="H714" t="n">
        <v>0</v>
      </c>
      <c r="I714" t="n">
        <v>0</v>
      </c>
      <c r="J714" t="n">
        <v>0</v>
      </c>
      <c r="K714" t="n">
        <v>0</v>
      </c>
      <c r="L714" t="n">
        <v>0</v>
      </c>
      <c r="M714" t="n">
        <v>0</v>
      </c>
      <c r="N714" t="n">
        <v>0</v>
      </c>
      <c r="O714" t="n">
        <v>0</v>
      </c>
      <c r="P714" t="n">
        <v>0</v>
      </c>
      <c r="Q714" t="n">
        <v>0</v>
      </c>
      <c r="R714" s="2" t="inlineStr"/>
    </row>
    <row r="715" ht="15" customHeight="1">
      <c r="A715" t="inlineStr">
        <is>
          <t>A 52906-2025</t>
        </is>
      </c>
      <c r="B715" s="1" t="n">
        <v>45957</v>
      </c>
      <c r="C715" s="1" t="n">
        <v>46100</v>
      </c>
      <c r="D715" t="inlineStr">
        <is>
          <t>BLEKINGE LÄN</t>
        </is>
      </c>
      <c r="E715" t="inlineStr">
        <is>
          <t>KARLSKRONA</t>
        </is>
      </c>
      <c r="G715" t="n">
        <v>1.4</v>
      </c>
      <c r="H715" t="n">
        <v>0</v>
      </c>
      <c r="I715" t="n">
        <v>0</v>
      </c>
      <c r="J715" t="n">
        <v>0</v>
      </c>
      <c r="K715" t="n">
        <v>0</v>
      </c>
      <c r="L715" t="n">
        <v>0</v>
      </c>
      <c r="M715" t="n">
        <v>0</v>
      </c>
      <c r="N715" t="n">
        <v>0</v>
      </c>
      <c r="O715" t="n">
        <v>0</v>
      </c>
      <c r="P715" t="n">
        <v>0</v>
      </c>
      <c r="Q715" t="n">
        <v>0</v>
      </c>
      <c r="R715" s="2" t="inlineStr"/>
    </row>
    <row r="716" ht="15" customHeight="1">
      <c r="A716" t="inlineStr">
        <is>
          <t>A 29361-2023</t>
        </is>
      </c>
      <c r="B716" s="1" t="n">
        <v>45106.3509837963</v>
      </c>
      <c r="C716" s="1" t="n">
        <v>46100</v>
      </c>
      <c r="D716" t="inlineStr">
        <is>
          <t>BLEKINGE LÄN</t>
        </is>
      </c>
      <c r="E716" t="inlineStr">
        <is>
          <t>KARLSKRONA</t>
        </is>
      </c>
      <c r="G716" t="n">
        <v>2</v>
      </c>
      <c r="H716" t="n">
        <v>0</v>
      </c>
      <c r="I716" t="n">
        <v>0</v>
      </c>
      <c r="J716" t="n">
        <v>0</v>
      </c>
      <c r="K716" t="n">
        <v>0</v>
      </c>
      <c r="L716" t="n">
        <v>0</v>
      </c>
      <c r="M716" t="n">
        <v>0</v>
      </c>
      <c r="N716" t="n">
        <v>0</v>
      </c>
      <c r="O716" t="n">
        <v>0</v>
      </c>
      <c r="P716" t="n">
        <v>0</v>
      </c>
      <c r="Q716" t="n">
        <v>0</v>
      </c>
      <c r="R716" s="2" t="inlineStr"/>
    </row>
    <row r="717" ht="15" customHeight="1">
      <c r="A717" t="inlineStr">
        <is>
          <t>A 52612-2025</t>
        </is>
      </c>
      <c r="B717" s="1" t="n">
        <v>45954.66997685185</v>
      </c>
      <c r="C717" s="1" t="n">
        <v>46100</v>
      </c>
      <c r="D717" t="inlineStr">
        <is>
          <t>BLEKINGE LÄN</t>
        </is>
      </c>
      <c r="E717" t="inlineStr">
        <is>
          <t>KARLSKRONA</t>
        </is>
      </c>
      <c r="G717" t="n">
        <v>2.6</v>
      </c>
      <c r="H717" t="n">
        <v>0</v>
      </c>
      <c r="I717" t="n">
        <v>0</v>
      </c>
      <c r="J717" t="n">
        <v>0</v>
      </c>
      <c r="K717" t="n">
        <v>0</v>
      </c>
      <c r="L717" t="n">
        <v>0</v>
      </c>
      <c r="M717" t="n">
        <v>0</v>
      </c>
      <c r="N717" t="n">
        <v>0</v>
      </c>
      <c r="O717" t="n">
        <v>0</v>
      </c>
      <c r="P717" t="n">
        <v>0</v>
      </c>
      <c r="Q717" t="n">
        <v>0</v>
      </c>
      <c r="R717" s="2" t="inlineStr"/>
    </row>
    <row r="718" ht="15" customHeight="1">
      <c r="A718" t="inlineStr">
        <is>
          <t>A 8619-2025</t>
        </is>
      </c>
      <c r="B718" s="1" t="n">
        <v>45711</v>
      </c>
      <c r="C718" s="1" t="n">
        <v>46100</v>
      </c>
      <c r="D718" t="inlineStr">
        <is>
          <t>BLEKINGE LÄN</t>
        </is>
      </c>
      <c r="E718" t="inlineStr">
        <is>
          <t>KARLSKRONA</t>
        </is>
      </c>
      <c r="G718" t="n">
        <v>1.8</v>
      </c>
      <c r="H718" t="n">
        <v>0</v>
      </c>
      <c r="I718" t="n">
        <v>0</v>
      </c>
      <c r="J718" t="n">
        <v>0</v>
      </c>
      <c r="K718" t="n">
        <v>0</v>
      </c>
      <c r="L718" t="n">
        <v>0</v>
      </c>
      <c r="M718" t="n">
        <v>0</v>
      </c>
      <c r="N718" t="n">
        <v>0</v>
      </c>
      <c r="O718" t="n">
        <v>0</v>
      </c>
      <c r="P718" t="n">
        <v>0</v>
      </c>
      <c r="Q718" t="n">
        <v>0</v>
      </c>
      <c r="R718" s="2" t="inlineStr"/>
    </row>
    <row r="719" ht="15" customHeight="1">
      <c r="A719" t="inlineStr">
        <is>
          <t>A 31009-2024</t>
        </is>
      </c>
      <c r="B719" s="1" t="n">
        <v>45499</v>
      </c>
      <c r="C719" s="1" t="n">
        <v>46100</v>
      </c>
      <c r="D719" t="inlineStr">
        <is>
          <t>BLEKINGE LÄN</t>
        </is>
      </c>
      <c r="E719" t="inlineStr">
        <is>
          <t>KARLSKRONA</t>
        </is>
      </c>
      <c r="G719" t="n">
        <v>1.4</v>
      </c>
      <c r="H719" t="n">
        <v>0</v>
      </c>
      <c r="I719" t="n">
        <v>0</v>
      </c>
      <c r="J719" t="n">
        <v>0</v>
      </c>
      <c r="K719" t="n">
        <v>0</v>
      </c>
      <c r="L719" t="n">
        <v>0</v>
      </c>
      <c r="M719" t="n">
        <v>0</v>
      </c>
      <c r="N719" t="n">
        <v>0</v>
      </c>
      <c r="O719" t="n">
        <v>0</v>
      </c>
      <c r="P719" t="n">
        <v>0</v>
      </c>
      <c r="Q719" t="n">
        <v>0</v>
      </c>
      <c r="R719" s="2" t="inlineStr"/>
    </row>
    <row r="720" ht="15" customHeight="1">
      <c r="A720" t="inlineStr">
        <is>
          <t>A 39121-2023</t>
        </is>
      </c>
      <c r="B720" s="1" t="n">
        <v>45165.53146990741</v>
      </c>
      <c r="C720" s="1" t="n">
        <v>46100</v>
      </c>
      <c r="D720" t="inlineStr">
        <is>
          <t>BLEKINGE LÄN</t>
        </is>
      </c>
      <c r="E720" t="inlineStr">
        <is>
          <t>KARLSKRONA</t>
        </is>
      </c>
      <c r="G720" t="n">
        <v>0.7</v>
      </c>
      <c r="H720" t="n">
        <v>0</v>
      </c>
      <c r="I720" t="n">
        <v>0</v>
      </c>
      <c r="J720" t="n">
        <v>0</v>
      </c>
      <c r="K720" t="n">
        <v>0</v>
      </c>
      <c r="L720" t="n">
        <v>0</v>
      </c>
      <c r="M720" t="n">
        <v>0</v>
      </c>
      <c r="N720" t="n">
        <v>0</v>
      </c>
      <c r="O720" t="n">
        <v>0</v>
      </c>
      <c r="P720" t="n">
        <v>0</v>
      </c>
      <c r="Q720" t="n">
        <v>0</v>
      </c>
      <c r="R720" s="2" t="inlineStr"/>
    </row>
    <row r="721" ht="15" customHeight="1">
      <c r="A721" t="inlineStr">
        <is>
          <t>A 52903-2025</t>
        </is>
      </c>
      <c r="B721" s="1" t="n">
        <v>45957</v>
      </c>
      <c r="C721" s="1" t="n">
        <v>46100</v>
      </c>
      <c r="D721" t="inlineStr">
        <is>
          <t>BLEKINGE LÄN</t>
        </is>
      </c>
      <c r="E721" t="inlineStr">
        <is>
          <t>KARLSKRONA</t>
        </is>
      </c>
      <c r="G721" t="n">
        <v>0.5</v>
      </c>
      <c r="H721" t="n">
        <v>0</v>
      </c>
      <c r="I721" t="n">
        <v>0</v>
      </c>
      <c r="J721" t="n">
        <v>0</v>
      </c>
      <c r="K721" t="n">
        <v>0</v>
      </c>
      <c r="L721" t="n">
        <v>0</v>
      </c>
      <c r="M721" t="n">
        <v>0</v>
      </c>
      <c r="N721" t="n">
        <v>0</v>
      </c>
      <c r="O721" t="n">
        <v>0</v>
      </c>
      <c r="P721" t="n">
        <v>0</v>
      </c>
      <c r="Q721" t="n">
        <v>0</v>
      </c>
      <c r="R721" s="2" t="inlineStr"/>
    </row>
    <row r="722" ht="15" customHeight="1">
      <c r="A722" t="inlineStr">
        <is>
          <t>A 59707-2023</t>
        </is>
      </c>
      <c r="B722" s="1" t="n">
        <v>45256</v>
      </c>
      <c r="C722" s="1" t="n">
        <v>46100</v>
      </c>
      <c r="D722" t="inlineStr">
        <is>
          <t>BLEKINGE LÄN</t>
        </is>
      </c>
      <c r="E722" t="inlineStr">
        <is>
          <t>KARLSKRONA</t>
        </is>
      </c>
      <c r="G722" t="n">
        <v>2.7</v>
      </c>
      <c r="H722" t="n">
        <v>0</v>
      </c>
      <c r="I722" t="n">
        <v>0</v>
      </c>
      <c r="J722" t="n">
        <v>0</v>
      </c>
      <c r="K722" t="n">
        <v>0</v>
      </c>
      <c r="L722" t="n">
        <v>0</v>
      </c>
      <c r="M722" t="n">
        <v>0</v>
      </c>
      <c r="N722" t="n">
        <v>0</v>
      </c>
      <c r="O722" t="n">
        <v>0</v>
      </c>
      <c r="P722" t="n">
        <v>0</v>
      </c>
      <c r="Q722" t="n">
        <v>0</v>
      </c>
      <c r="R722" s="2" t="inlineStr"/>
    </row>
    <row r="723" ht="15" customHeight="1">
      <c r="A723" t="inlineStr">
        <is>
          <t>A 53130-2025</t>
        </is>
      </c>
      <c r="B723" s="1" t="n">
        <v>45958.46466435185</v>
      </c>
      <c r="C723" s="1" t="n">
        <v>46100</v>
      </c>
      <c r="D723" t="inlineStr">
        <is>
          <t>BLEKINGE LÄN</t>
        </is>
      </c>
      <c r="E723" t="inlineStr">
        <is>
          <t>KARLSKRONA</t>
        </is>
      </c>
      <c r="G723" t="n">
        <v>1.9</v>
      </c>
      <c r="H723" t="n">
        <v>0</v>
      </c>
      <c r="I723" t="n">
        <v>0</v>
      </c>
      <c r="J723" t="n">
        <v>0</v>
      </c>
      <c r="K723" t="n">
        <v>0</v>
      </c>
      <c r="L723" t="n">
        <v>0</v>
      </c>
      <c r="M723" t="n">
        <v>0</v>
      </c>
      <c r="N723" t="n">
        <v>0</v>
      </c>
      <c r="O723" t="n">
        <v>0</v>
      </c>
      <c r="P723" t="n">
        <v>0</v>
      </c>
      <c r="Q723" t="n">
        <v>0</v>
      </c>
      <c r="R723" s="2" t="inlineStr"/>
    </row>
    <row r="724" ht="15" customHeight="1">
      <c r="A724" t="inlineStr">
        <is>
          <t>A 53149-2025</t>
        </is>
      </c>
      <c r="B724" s="1" t="n">
        <v>45958.481875</v>
      </c>
      <c r="C724" s="1" t="n">
        <v>46100</v>
      </c>
      <c r="D724" t="inlineStr">
        <is>
          <t>BLEKINGE LÄN</t>
        </is>
      </c>
      <c r="E724" t="inlineStr">
        <is>
          <t>KARLSKRONA</t>
        </is>
      </c>
      <c r="G724" t="n">
        <v>0.8</v>
      </c>
      <c r="H724" t="n">
        <v>0</v>
      </c>
      <c r="I724" t="n">
        <v>0</v>
      </c>
      <c r="J724" t="n">
        <v>0</v>
      </c>
      <c r="K724" t="n">
        <v>0</v>
      </c>
      <c r="L724" t="n">
        <v>0</v>
      </c>
      <c r="M724" t="n">
        <v>0</v>
      </c>
      <c r="N724" t="n">
        <v>0</v>
      </c>
      <c r="O724" t="n">
        <v>0</v>
      </c>
      <c r="P724" t="n">
        <v>0</v>
      </c>
      <c r="Q724" t="n">
        <v>0</v>
      </c>
      <c r="R724" s="2" t="inlineStr"/>
    </row>
    <row r="725" ht="15" customHeight="1">
      <c r="A725" t="inlineStr">
        <is>
          <t>A 53146-2025</t>
        </is>
      </c>
      <c r="B725" s="1" t="n">
        <v>45958.47736111111</v>
      </c>
      <c r="C725" s="1" t="n">
        <v>46100</v>
      </c>
      <c r="D725" t="inlineStr">
        <is>
          <t>BLEKINGE LÄN</t>
        </is>
      </c>
      <c r="E725" t="inlineStr">
        <is>
          <t>KARLSKRONA</t>
        </is>
      </c>
      <c r="G725" t="n">
        <v>2</v>
      </c>
      <c r="H725" t="n">
        <v>0</v>
      </c>
      <c r="I725" t="n">
        <v>0</v>
      </c>
      <c r="J725" t="n">
        <v>0</v>
      </c>
      <c r="K725" t="n">
        <v>0</v>
      </c>
      <c r="L725" t="n">
        <v>0</v>
      </c>
      <c r="M725" t="n">
        <v>0</v>
      </c>
      <c r="N725" t="n">
        <v>0</v>
      </c>
      <c r="O725" t="n">
        <v>0</v>
      </c>
      <c r="P725" t="n">
        <v>0</v>
      </c>
      <c r="Q725" t="n">
        <v>0</v>
      </c>
      <c r="R725" s="2" t="inlineStr"/>
    </row>
    <row r="726" ht="15" customHeight="1">
      <c r="A726" t="inlineStr">
        <is>
          <t>A 34137-2024</t>
        </is>
      </c>
      <c r="B726" s="1" t="n">
        <v>45524</v>
      </c>
      <c r="C726" s="1" t="n">
        <v>46100</v>
      </c>
      <c r="D726" t="inlineStr">
        <is>
          <t>BLEKINGE LÄN</t>
        </is>
      </c>
      <c r="E726" t="inlineStr">
        <is>
          <t>KARLSKRONA</t>
        </is>
      </c>
      <c r="G726" t="n">
        <v>1.2</v>
      </c>
      <c r="H726" t="n">
        <v>0</v>
      </c>
      <c r="I726" t="n">
        <v>0</v>
      </c>
      <c r="J726" t="n">
        <v>0</v>
      </c>
      <c r="K726" t="n">
        <v>0</v>
      </c>
      <c r="L726" t="n">
        <v>0</v>
      </c>
      <c r="M726" t="n">
        <v>0</v>
      </c>
      <c r="N726" t="n">
        <v>0</v>
      </c>
      <c r="O726" t="n">
        <v>0</v>
      </c>
      <c r="P726" t="n">
        <v>0</v>
      </c>
      <c r="Q726" t="n">
        <v>0</v>
      </c>
      <c r="R726" s="2" t="inlineStr"/>
    </row>
    <row r="727" ht="15" customHeight="1">
      <c r="A727" t="inlineStr">
        <is>
          <t>A 53135-2025</t>
        </is>
      </c>
      <c r="B727" s="1" t="n">
        <v>45958</v>
      </c>
      <c r="C727" s="1" t="n">
        <v>46100</v>
      </c>
      <c r="D727" t="inlineStr">
        <is>
          <t>BLEKINGE LÄN</t>
        </is>
      </c>
      <c r="E727" t="inlineStr">
        <is>
          <t>KARLSKRONA</t>
        </is>
      </c>
      <c r="G727" t="n">
        <v>3.6</v>
      </c>
      <c r="H727" t="n">
        <v>0</v>
      </c>
      <c r="I727" t="n">
        <v>0</v>
      </c>
      <c r="J727" t="n">
        <v>0</v>
      </c>
      <c r="K727" t="n">
        <v>0</v>
      </c>
      <c r="L727" t="n">
        <v>0</v>
      </c>
      <c r="M727" t="n">
        <v>0</v>
      </c>
      <c r="N727" t="n">
        <v>0</v>
      </c>
      <c r="O727" t="n">
        <v>0</v>
      </c>
      <c r="P727" t="n">
        <v>0</v>
      </c>
      <c r="Q727" t="n">
        <v>0</v>
      </c>
      <c r="R727" s="2" t="inlineStr"/>
    </row>
    <row r="728" ht="15" customHeight="1">
      <c r="A728" t="inlineStr">
        <is>
          <t>A 53141-2025</t>
        </is>
      </c>
      <c r="B728" s="1" t="n">
        <v>45958</v>
      </c>
      <c r="C728" s="1" t="n">
        <v>46100</v>
      </c>
      <c r="D728" t="inlineStr">
        <is>
          <t>BLEKINGE LÄN</t>
        </is>
      </c>
      <c r="E728" t="inlineStr">
        <is>
          <t>KARLSKRONA</t>
        </is>
      </c>
      <c r="G728" t="n">
        <v>2.2</v>
      </c>
      <c r="H728" t="n">
        <v>0</v>
      </c>
      <c r="I728" t="n">
        <v>0</v>
      </c>
      <c r="J728" t="n">
        <v>0</v>
      </c>
      <c r="K728" t="n">
        <v>0</v>
      </c>
      <c r="L728" t="n">
        <v>0</v>
      </c>
      <c r="M728" t="n">
        <v>0</v>
      </c>
      <c r="N728" t="n">
        <v>0</v>
      </c>
      <c r="O728" t="n">
        <v>0</v>
      </c>
      <c r="P728" t="n">
        <v>0</v>
      </c>
      <c r="Q728" t="n">
        <v>0</v>
      </c>
      <c r="R728" s="2" t="inlineStr"/>
    </row>
    <row r="729" ht="15" customHeight="1">
      <c r="A729" t="inlineStr">
        <is>
          <t>A 53143-2025</t>
        </is>
      </c>
      <c r="B729" s="1" t="n">
        <v>45958.47434027777</v>
      </c>
      <c r="C729" s="1" t="n">
        <v>46100</v>
      </c>
      <c r="D729" t="inlineStr">
        <is>
          <t>BLEKINGE LÄN</t>
        </is>
      </c>
      <c r="E729" t="inlineStr">
        <is>
          <t>KARLSKRONA</t>
        </is>
      </c>
      <c r="G729" t="n">
        <v>7.8</v>
      </c>
      <c r="H729" t="n">
        <v>0</v>
      </c>
      <c r="I729" t="n">
        <v>0</v>
      </c>
      <c r="J729" t="n">
        <v>0</v>
      </c>
      <c r="K729" t="n">
        <v>0</v>
      </c>
      <c r="L729" t="n">
        <v>0</v>
      </c>
      <c r="M729" t="n">
        <v>0</v>
      </c>
      <c r="N729" t="n">
        <v>0</v>
      </c>
      <c r="O729" t="n">
        <v>0</v>
      </c>
      <c r="P729" t="n">
        <v>0</v>
      </c>
      <c r="Q729" t="n">
        <v>0</v>
      </c>
      <c r="R729" s="2" t="inlineStr"/>
    </row>
    <row r="730" ht="15" customHeight="1">
      <c r="A730" t="inlineStr">
        <is>
          <t>A 53096-2025</t>
        </is>
      </c>
      <c r="B730" s="1" t="n">
        <v>45958.42738425926</v>
      </c>
      <c r="C730" s="1" t="n">
        <v>46100</v>
      </c>
      <c r="D730" t="inlineStr">
        <is>
          <t>BLEKINGE LÄN</t>
        </is>
      </c>
      <c r="E730" t="inlineStr">
        <is>
          <t>KARLSKRONA</t>
        </is>
      </c>
      <c r="G730" t="n">
        <v>0.8</v>
      </c>
      <c r="H730" t="n">
        <v>0</v>
      </c>
      <c r="I730" t="n">
        <v>0</v>
      </c>
      <c r="J730" t="n">
        <v>0</v>
      </c>
      <c r="K730" t="n">
        <v>0</v>
      </c>
      <c r="L730" t="n">
        <v>0</v>
      </c>
      <c r="M730" t="n">
        <v>0</v>
      </c>
      <c r="N730" t="n">
        <v>0</v>
      </c>
      <c r="O730" t="n">
        <v>0</v>
      </c>
      <c r="P730" t="n">
        <v>0</v>
      </c>
      <c r="Q730" t="n">
        <v>0</v>
      </c>
      <c r="R730" s="2" t="inlineStr"/>
    </row>
    <row r="731" ht="15" customHeight="1">
      <c r="A731" t="inlineStr">
        <is>
          <t>A 50902-2023</t>
        </is>
      </c>
      <c r="B731" s="1" t="n">
        <v>45218.41484953704</v>
      </c>
      <c r="C731" s="1" t="n">
        <v>46100</v>
      </c>
      <c r="D731" t="inlineStr">
        <is>
          <t>BLEKINGE LÄN</t>
        </is>
      </c>
      <c r="E731" t="inlineStr">
        <is>
          <t>KARLSKRONA</t>
        </is>
      </c>
      <c r="G731" t="n">
        <v>2.5</v>
      </c>
      <c r="H731" t="n">
        <v>0</v>
      </c>
      <c r="I731" t="n">
        <v>0</v>
      </c>
      <c r="J731" t="n">
        <v>0</v>
      </c>
      <c r="K731" t="n">
        <v>0</v>
      </c>
      <c r="L731" t="n">
        <v>0</v>
      </c>
      <c r="M731" t="n">
        <v>0</v>
      </c>
      <c r="N731" t="n">
        <v>0</v>
      </c>
      <c r="O731" t="n">
        <v>0</v>
      </c>
      <c r="P731" t="n">
        <v>0</v>
      </c>
      <c r="Q731" t="n">
        <v>0</v>
      </c>
      <c r="R731" s="2" t="inlineStr"/>
    </row>
    <row r="732" ht="15" customHeight="1">
      <c r="A732" t="inlineStr">
        <is>
          <t>A 50614-2022</t>
        </is>
      </c>
      <c r="B732" s="1" t="n">
        <v>44866</v>
      </c>
      <c r="C732" s="1" t="n">
        <v>46100</v>
      </c>
      <c r="D732" t="inlineStr">
        <is>
          <t>BLEKINGE LÄN</t>
        </is>
      </c>
      <c r="E732" t="inlineStr">
        <is>
          <t>KARLSKRONA</t>
        </is>
      </c>
      <c r="G732" t="n">
        <v>1.5</v>
      </c>
      <c r="H732" t="n">
        <v>0</v>
      </c>
      <c r="I732" t="n">
        <v>0</v>
      </c>
      <c r="J732" t="n">
        <v>0</v>
      </c>
      <c r="K732" t="n">
        <v>0</v>
      </c>
      <c r="L732" t="n">
        <v>0</v>
      </c>
      <c r="M732" t="n">
        <v>0</v>
      </c>
      <c r="N732" t="n">
        <v>0</v>
      </c>
      <c r="O732" t="n">
        <v>0</v>
      </c>
      <c r="P732" t="n">
        <v>0</v>
      </c>
      <c r="Q732" t="n">
        <v>0</v>
      </c>
      <c r="R732" s="2" t="inlineStr"/>
    </row>
    <row r="733" ht="15" customHeight="1">
      <c r="A733" t="inlineStr">
        <is>
          <t>A 53864-2025</t>
        </is>
      </c>
      <c r="B733" s="1" t="n">
        <v>45961</v>
      </c>
      <c r="C733" s="1" t="n">
        <v>46100</v>
      </c>
      <c r="D733" t="inlineStr">
        <is>
          <t>BLEKINGE LÄN</t>
        </is>
      </c>
      <c r="E733" t="inlineStr">
        <is>
          <t>KARLSKRONA</t>
        </is>
      </c>
      <c r="G733" t="n">
        <v>3.1</v>
      </c>
      <c r="H733" t="n">
        <v>0</v>
      </c>
      <c r="I733" t="n">
        <v>0</v>
      </c>
      <c r="J733" t="n">
        <v>0</v>
      </c>
      <c r="K733" t="n">
        <v>0</v>
      </c>
      <c r="L733" t="n">
        <v>0</v>
      </c>
      <c r="M733" t="n">
        <v>0</v>
      </c>
      <c r="N733" t="n">
        <v>0</v>
      </c>
      <c r="O733" t="n">
        <v>0</v>
      </c>
      <c r="P733" t="n">
        <v>0</v>
      </c>
      <c r="Q733" t="n">
        <v>0</v>
      </c>
      <c r="R733" s="2" t="inlineStr"/>
    </row>
    <row r="734" ht="15" customHeight="1">
      <c r="A734" t="inlineStr">
        <is>
          <t>A 18400-2021</t>
        </is>
      </c>
      <c r="B734" s="1" t="n">
        <v>44305</v>
      </c>
      <c r="C734" s="1" t="n">
        <v>46100</v>
      </c>
      <c r="D734" t="inlineStr">
        <is>
          <t>BLEKINGE LÄN</t>
        </is>
      </c>
      <c r="E734" t="inlineStr">
        <is>
          <t>KARLSKRONA</t>
        </is>
      </c>
      <c r="G734" t="n">
        <v>2</v>
      </c>
      <c r="H734" t="n">
        <v>0</v>
      </c>
      <c r="I734" t="n">
        <v>0</v>
      </c>
      <c r="J734" t="n">
        <v>0</v>
      </c>
      <c r="K734" t="n">
        <v>0</v>
      </c>
      <c r="L734" t="n">
        <v>0</v>
      </c>
      <c r="M734" t="n">
        <v>0</v>
      </c>
      <c r="N734" t="n">
        <v>0</v>
      </c>
      <c r="O734" t="n">
        <v>0</v>
      </c>
      <c r="P734" t="n">
        <v>0</v>
      </c>
      <c r="Q734" t="n">
        <v>0</v>
      </c>
      <c r="R734" s="2" t="inlineStr"/>
    </row>
    <row r="735" ht="15" customHeight="1">
      <c r="A735" t="inlineStr">
        <is>
          <t>A 61266-2023</t>
        </is>
      </c>
      <c r="B735" s="1" t="n">
        <v>45264</v>
      </c>
      <c r="C735" s="1" t="n">
        <v>46100</v>
      </c>
      <c r="D735" t="inlineStr">
        <is>
          <t>BLEKINGE LÄN</t>
        </is>
      </c>
      <c r="E735" t="inlineStr">
        <is>
          <t>KARLSKRONA</t>
        </is>
      </c>
      <c r="G735" t="n">
        <v>13.2</v>
      </c>
      <c r="H735" t="n">
        <v>0</v>
      </c>
      <c r="I735" t="n">
        <v>0</v>
      </c>
      <c r="J735" t="n">
        <v>0</v>
      </c>
      <c r="K735" t="n">
        <v>0</v>
      </c>
      <c r="L735" t="n">
        <v>0</v>
      </c>
      <c r="M735" t="n">
        <v>0</v>
      </c>
      <c r="N735" t="n">
        <v>0</v>
      </c>
      <c r="O735" t="n">
        <v>0</v>
      </c>
      <c r="P735" t="n">
        <v>0</v>
      </c>
      <c r="Q735" t="n">
        <v>0</v>
      </c>
      <c r="R735" s="2" t="inlineStr"/>
    </row>
    <row r="736" ht="15" customHeight="1">
      <c r="A736" t="inlineStr">
        <is>
          <t>A 44120-2023</t>
        </is>
      </c>
      <c r="B736" s="1" t="n">
        <v>45188.45027777777</v>
      </c>
      <c r="C736" s="1" t="n">
        <v>46100</v>
      </c>
      <c r="D736" t="inlineStr">
        <is>
          <t>BLEKINGE LÄN</t>
        </is>
      </c>
      <c r="E736" t="inlineStr">
        <is>
          <t>KARLSKRONA</t>
        </is>
      </c>
      <c r="G736" t="n">
        <v>1</v>
      </c>
      <c r="H736" t="n">
        <v>0</v>
      </c>
      <c r="I736" t="n">
        <v>0</v>
      </c>
      <c r="J736" t="n">
        <v>0</v>
      </c>
      <c r="K736" t="n">
        <v>0</v>
      </c>
      <c r="L736" t="n">
        <v>0</v>
      </c>
      <c r="M736" t="n">
        <v>0</v>
      </c>
      <c r="N736" t="n">
        <v>0</v>
      </c>
      <c r="O736" t="n">
        <v>0</v>
      </c>
      <c r="P736" t="n">
        <v>0</v>
      </c>
      <c r="Q736" t="n">
        <v>0</v>
      </c>
      <c r="R736" s="2" t="inlineStr"/>
    </row>
    <row r="737" ht="15" customHeight="1">
      <c r="A737" t="inlineStr">
        <is>
          <t>A 53865-2025</t>
        </is>
      </c>
      <c r="B737" s="1" t="n">
        <v>45961</v>
      </c>
      <c r="C737" s="1" t="n">
        <v>46100</v>
      </c>
      <c r="D737" t="inlineStr">
        <is>
          <t>BLEKINGE LÄN</t>
        </is>
      </c>
      <c r="E737" t="inlineStr">
        <is>
          <t>KARLSKRONA</t>
        </is>
      </c>
      <c r="G737" t="n">
        <v>1.9</v>
      </c>
      <c r="H737" t="n">
        <v>0</v>
      </c>
      <c r="I737" t="n">
        <v>0</v>
      </c>
      <c r="J737" t="n">
        <v>0</v>
      </c>
      <c r="K737" t="n">
        <v>0</v>
      </c>
      <c r="L737" t="n">
        <v>0</v>
      </c>
      <c r="M737" t="n">
        <v>0</v>
      </c>
      <c r="N737" t="n">
        <v>0</v>
      </c>
      <c r="O737" t="n">
        <v>0</v>
      </c>
      <c r="P737" t="n">
        <v>0</v>
      </c>
      <c r="Q737" t="n">
        <v>0</v>
      </c>
      <c r="R737" s="2" t="inlineStr"/>
    </row>
    <row r="738" ht="15" customHeight="1">
      <c r="A738" t="inlineStr">
        <is>
          <t>A 53850-2025</t>
        </is>
      </c>
      <c r="B738" s="1" t="n">
        <v>45961</v>
      </c>
      <c r="C738" s="1" t="n">
        <v>46100</v>
      </c>
      <c r="D738" t="inlineStr">
        <is>
          <t>BLEKINGE LÄN</t>
        </is>
      </c>
      <c r="E738" t="inlineStr">
        <is>
          <t>KARLSKRONA</t>
        </is>
      </c>
      <c r="G738" t="n">
        <v>2.1</v>
      </c>
      <c r="H738" t="n">
        <v>0</v>
      </c>
      <c r="I738" t="n">
        <v>0</v>
      </c>
      <c r="J738" t="n">
        <v>0</v>
      </c>
      <c r="K738" t="n">
        <v>0</v>
      </c>
      <c r="L738" t="n">
        <v>0</v>
      </c>
      <c r="M738" t="n">
        <v>0</v>
      </c>
      <c r="N738" t="n">
        <v>0</v>
      </c>
      <c r="O738" t="n">
        <v>0</v>
      </c>
      <c r="P738" t="n">
        <v>0</v>
      </c>
      <c r="Q738" t="n">
        <v>0</v>
      </c>
      <c r="R738" s="2" t="inlineStr"/>
    </row>
    <row r="739" ht="15" customHeight="1">
      <c r="A739" t="inlineStr">
        <is>
          <t>A 53858-2025</t>
        </is>
      </c>
      <c r="B739" s="1" t="n">
        <v>45961</v>
      </c>
      <c r="C739" s="1" t="n">
        <v>46100</v>
      </c>
      <c r="D739" t="inlineStr">
        <is>
          <t>BLEKINGE LÄN</t>
        </is>
      </c>
      <c r="E739" t="inlineStr">
        <is>
          <t>KARLSKRONA</t>
        </is>
      </c>
      <c r="G739" t="n">
        <v>0.4</v>
      </c>
      <c r="H739" t="n">
        <v>0</v>
      </c>
      <c r="I739" t="n">
        <v>0</v>
      </c>
      <c r="J739" t="n">
        <v>0</v>
      </c>
      <c r="K739" t="n">
        <v>0</v>
      </c>
      <c r="L739" t="n">
        <v>0</v>
      </c>
      <c r="M739" t="n">
        <v>0</v>
      </c>
      <c r="N739" t="n">
        <v>0</v>
      </c>
      <c r="O739" t="n">
        <v>0</v>
      </c>
      <c r="P739" t="n">
        <v>0</v>
      </c>
      <c r="Q739" t="n">
        <v>0</v>
      </c>
      <c r="R739" s="2" t="inlineStr"/>
    </row>
    <row r="740" ht="15" customHeight="1">
      <c r="A740" t="inlineStr">
        <is>
          <t>A 27378-2025</t>
        </is>
      </c>
      <c r="B740" s="1" t="n">
        <v>45812.65798611111</v>
      </c>
      <c r="C740" s="1" t="n">
        <v>46100</v>
      </c>
      <c r="D740" t="inlineStr">
        <is>
          <t>BLEKINGE LÄN</t>
        </is>
      </c>
      <c r="E740" t="inlineStr">
        <is>
          <t>KARLSKRONA</t>
        </is>
      </c>
      <c r="G740" t="n">
        <v>1.1</v>
      </c>
      <c r="H740" t="n">
        <v>0</v>
      </c>
      <c r="I740" t="n">
        <v>0</v>
      </c>
      <c r="J740" t="n">
        <v>0</v>
      </c>
      <c r="K740" t="n">
        <v>0</v>
      </c>
      <c r="L740" t="n">
        <v>0</v>
      </c>
      <c r="M740" t="n">
        <v>0</v>
      </c>
      <c r="N740" t="n">
        <v>0</v>
      </c>
      <c r="O740" t="n">
        <v>0</v>
      </c>
      <c r="P740" t="n">
        <v>0</v>
      </c>
      <c r="Q740" t="n">
        <v>0</v>
      </c>
      <c r="R740" s="2" t="inlineStr"/>
    </row>
    <row r="741" ht="15" customHeight="1">
      <c r="A741" t="inlineStr">
        <is>
          <t>A 5882-2025</t>
        </is>
      </c>
      <c r="B741" s="1" t="n">
        <v>45695.37408564815</v>
      </c>
      <c r="C741" s="1" t="n">
        <v>46100</v>
      </c>
      <c r="D741" t="inlineStr">
        <is>
          <t>BLEKINGE LÄN</t>
        </is>
      </c>
      <c r="E741" t="inlineStr">
        <is>
          <t>KARLSKRONA</t>
        </is>
      </c>
      <c r="G741" t="n">
        <v>2.5</v>
      </c>
      <c r="H741" t="n">
        <v>0</v>
      </c>
      <c r="I741" t="n">
        <v>0</v>
      </c>
      <c r="J741" t="n">
        <v>0</v>
      </c>
      <c r="K741" t="n">
        <v>0</v>
      </c>
      <c r="L741" t="n">
        <v>0</v>
      </c>
      <c r="M741" t="n">
        <v>0</v>
      </c>
      <c r="N741" t="n">
        <v>0</v>
      </c>
      <c r="O741" t="n">
        <v>0</v>
      </c>
      <c r="P741" t="n">
        <v>0</v>
      </c>
      <c r="Q741" t="n">
        <v>0</v>
      </c>
      <c r="R741" s="2" t="inlineStr"/>
    </row>
    <row r="742" ht="15" customHeight="1">
      <c r="A742" t="inlineStr">
        <is>
          <t>A 26917-2023</t>
        </is>
      </c>
      <c r="B742" s="1" t="n">
        <v>45093</v>
      </c>
      <c r="C742" s="1" t="n">
        <v>46100</v>
      </c>
      <c r="D742" t="inlineStr">
        <is>
          <t>BLEKINGE LÄN</t>
        </is>
      </c>
      <c r="E742" t="inlineStr">
        <is>
          <t>KARLSKRONA</t>
        </is>
      </c>
      <c r="G742" t="n">
        <v>1.4</v>
      </c>
      <c r="H742" t="n">
        <v>0</v>
      </c>
      <c r="I742" t="n">
        <v>0</v>
      </c>
      <c r="J742" t="n">
        <v>0</v>
      </c>
      <c r="K742" t="n">
        <v>0</v>
      </c>
      <c r="L742" t="n">
        <v>0</v>
      </c>
      <c r="M742" t="n">
        <v>0</v>
      </c>
      <c r="N742" t="n">
        <v>0</v>
      </c>
      <c r="O742" t="n">
        <v>0</v>
      </c>
      <c r="P742" t="n">
        <v>0</v>
      </c>
      <c r="Q742" t="n">
        <v>0</v>
      </c>
      <c r="R742" s="2" t="inlineStr"/>
    </row>
    <row r="743" ht="15" customHeight="1">
      <c r="A743" t="inlineStr">
        <is>
          <t>A 621-2025</t>
        </is>
      </c>
      <c r="B743" s="1" t="n">
        <v>45664.61273148148</v>
      </c>
      <c r="C743" s="1" t="n">
        <v>46100</v>
      </c>
      <c r="D743" t="inlineStr">
        <is>
          <t>BLEKINGE LÄN</t>
        </is>
      </c>
      <c r="E743" t="inlineStr">
        <is>
          <t>KARLSKRONA</t>
        </is>
      </c>
      <c r="G743" t="n">
        <v>1.6</v>
      </c>
      <c r="H743" t="n">
        <v>0</v>
      </c>
      <c r="I743" t="n">
        <v>0</v>
      </c>
      <c r="J743" t="n">
        <v>0</v>
      </c>
      <c r="K743" t="n">
        <v>0</v>
      </c>
      <c r="L743" t="n">
        <v>0</v>
      </c>
      <c r="M743" t="n">
        <v>0</v>
      </c>
      <c r="N743" t="n">
        <v>0</v>
      </c>
      <c r="O743" t="n">
        <v>0</v>
      </c>
      <c r="P743" t="n">
        <v>0</v>
      </c>
      <c r="Q743" t="n">
        <v>0</v>
      </c>
      <c r="R743" s="2" t="inlineStr"/>
    </row>
    <row r="744" ht="15" customHeight="1">
      <c r="A744" t="inlineStr">
        <is>
          <t>A 49093-2025</t>
        </is>
      </c>
      <c r="B744" s="1" t="n">
        <v>45937</v>
      </c>
      <c r="C744" s="1" t="n">
        <v>46100</v>
      </c>
      <c r="D744" t="inlineStr">
        <is>
          <t>BLEKINGE LÄN</t>
        </is>
      </c>
      <c r="E744" t="inlineStr">
        <is>
          <t>KARLSKRONA</t>
        </is>
      </c>
      <c r="G744" t="n">
        <v>6.6</v>
      </c>
      <c r="H744" t="n">
        <v>0</v>
      </c>
      <c r="I744" t="n">
        <v>0</v>
      </c>
      <c r="J744" t="n">
        <v>0</v>
      </c>
      <c r="K744" t="n">
        <v>0</v>
      </c>
      <c r="L744" t="n">
        <v>0</v>
      </c>
      <c r="M744" t="n">
        <v>0</v>
      </c>
      <c r="N744" t="n">
        <v>0</v>
      </c>
      <c r="O744" t="n">
        <v>0</v>
      </c>
      <c r="P744" t="n">
        <v>0</v>
      </c>
      <c r="Q744" t="n">
        <v>0</v>
      </c>
      <c r="R744" s="2" t="inlineStr"/>
    </row>
    <row r="745" ht="15" customHeight="1">
      <c r="A745" t="inlineStr">
        <is>
          <t>A 30958-2023</t>
        </is>
      </c>
      <c r="B745" s="1" t="n">
        <v>45113.47484953704</v>
      </c>
      <c r="C745" s="1" t="n">
        <v>46100</v>
      </c>
      <c r="D745" t="inlineStr">
        <is>
          <t>BLEKINGE LÄN</t>
        </is>
      </c>
      <c r="E745" t="inlineStr">
        <is>
          <t>KARLSKRONA</t>
        </is>
      </c>
      <c r="G745" t="n">
        <v>1.8</v>
      </c>
      <c r="H745" t="n">
        <v>0</v>
      </c>
      <c r="I745" t="n">
        <v>0</v>
      </c>
      <c r="J745" t="n">
        <v>0</v>
      </c>
      <c r="K745" t="n">
        <v>0</v>
      </c>
      <c r="L745" t="n">
        <v>0</v>
      </c>
      <c r="M745" t="n">
        <v>0</v>
      </c>
      <c r="N745" t="n">
        <v>0</v>
      </c>
      <c r="O745" t="n">
        <v>0</v>
      </c>
      <c r="P745" t="n">
        <v>0</v>
      </c>
      <c r="Q745" t="n">
        <v>0</v>
      </c>
      <c r="R745" s="2" t="inlineStr"/>
    </row>
    <row r="746" ht="15" customHeight="1">
      <c r="A746" t="inlineStr">
        <is>
          <t>A 34609-2025</t>
        </is>
      </c>
      <c r="B746" s="1" t="n">
        <v>45847.65952546296</v>
      </c>
      <c r="C746" s="1" t="n">
        <v>46100</v>
      </c>
      <c r="D746" t="inlineStr">
        <is>
          <t>BLEKINGE LÄN</t>
        </is>
      </c>
      <c r="E746" t="inlineStr">
        <is>
          <t>KARLSKRONA</t>
        </is>
      </c>
      <c r="G746" t="n">
        <v>1</v>
      </c>
      <c r="H746" t="n">
        <v>0</v>
      </c>
      <c r="I746" t="n">
        <v>0</v>
      </c>
      <c r="J746" t="n">
        <v>0</v>
      </c>
      <c r="K746" t="n">
        <v>0</v>
      </c>
      <c r="L746" t="n">
        <v>0</v>
      </c>
      <c r="M746" t="n">
        <v>0</v>
      </c>
      <c r="N746" t="n">
        <v>0</v>
      </c>
      <c r="O746" t="n">
        <v>0</v>
      </c>
      <c r="P746" t="n">
        <v>0</v>
      </c>
      <c r="Q746" t="n">
        <v>0</v>
      </c>
      <c r="R746" s="2" t="inlineStr"/>
    </row>
    <row r="747" ht="15" customHeight="1">
      <c r="A747" t="inlineStr">
        <is>
          <t>A 34554-2025</t>
        </is>
      </c>
      <c r="B747" s="1" t="n">
        <v>45847.5694212963</v>
      </c>
      <c r="C747" s="1" t="n">
        <v>46100</v>
      </c>
      <c r="D747" t="inlineStr">
        <is>
          <t>BLEKINGE LÄN</t>
        </is>
      </c>
      <c r="E747" t="inlineStr">
        <is>
          <t>KARLSKRONA</t>
        </is>
      </c>
      <c r="G747" t="n">
        <v>2.1</v>
      </c>
      <c r="H747" t="n">
        <v>0</v>
      </c>
      <c r="I747" t="n">
        <v>0</v>
      </c>
      <c r="J747" t="n">
        <v>0</v>
      </c>
      <c r="K747" t="n">
        <v>0</v>
      </c>
      <c r="L747" t="n">
        <v>0</v>
      </c>
      <c r="M747" t="n">
        <v>0</v>
      </c>
      <c r="N747" t="n">
        <v>0</v>
      </c>
      <c r="O747" t="n">
        <v>0</v>
      </c>
      <c r="P747" t="n">
        <v>0</v>
      </c>
      <c r="Q747" t="n">
        <v>0</v>
      </c>
      <c r="R747" s="2" t="inlineStr"/>
    </row>
    <row r="748" ht="15" customHeight="1">
      <c r="A748" t="inlineStr">
        <is>
          <t>A 60901-2022</t>
        </is>
      </c>
      <c r="B748" s="1" t="n">
        <v>44914.59365740741</v>
      </c>
      <c r="C748" s="1" t="n">
        <v>46100</v>
      </c>
      <c r="D748" t="inlineStr">
        <is>
          <t>BLEKINGE LÄN</t>
        </is>
      </c>
      <c r="E748" t="inlineStr">
        <is>
          <t>KARLSKRONA</t>
        </is>
      </c>
      <c r="G748" t="n">
        <v>2</v>
      </c>
      <c r="H748" t="n">
        <v>0</v>
      </c>
      <c r="I748" t="n">
        <v>0</v>
      </c>
      <c r="J748" t="n">
        <v>0</v>
      </c>
      <c r="K748" t="n">
        <v>0</v>
      </c>
      <c r="L748" t="n">
        <v>0</v>
      </c>
      <c r="M748" t="n">
        <v>0</v>
      </c>
      <c r="N748" t="n">
        <v>0</v>
      </c>
      <c r="O748" t="n">
        <v>0</v>
      </c>
      <c r="P748" t="n">
        <v>0</v>
      </c>
      <c r="Q748" t="n">
        <v>0</v>
      </c>
      <c r="R748" s="2" t="inlineStr"/>
    </row>
    <row r="749" ht="15" customHeight="1">
      <c r="A749" t="inlineStr">
        <is>
          <t>A 3807-2024</t>
        </is>
      </c>
      <c r="B749" s="1" t="n">
        <v>45321.65413194444</v>
      </c>
      <c r="C749" s="1" t="n">
        <v>46100</v>
      </c>
      <c r="D749" t="inlineStr">
        <is>
          <t>BLEKINGE LÄN</t>
        </is>
      </c>
      <c r="E749" t="inlineStr">
        <is>
          <t>KARLSKRONA</t>
        </is>
      </c>
      <c r="G749" t="n">
        <v>0.5</v>
      </c>
      <c r="H749" t="n">
        <v>0</v>
      </c>
      <c r="I749" t="n">
        <v>0</v>
      </c>
      <c r="J749" t="n">
        <v>0</v>
      </c>
      <c r="K749" t="n">
        <v>0</v>
      </c>
      <c r="L749" t="n">
        <v>0</v>
      </c>
      <c r="M749" t="n">
        <v>0</v>
      </c>
      <c r="N749" t="n">
        <v>0</v>
      </c>
      <c r="O749" t="n">
        <v>0</v>
      </c>
      <c r="P749" t="n">
        <v>0</v>
      </c>
      <c r="Q749" t="n">
        <v>0</v>
      </c>
      <c r="R749" s="2" t="inlineStr"/>
    </row>
    <row r="750" ht="15" customHeight="1">
      <c r="A750" t="inlineStr">
        <is>
          <t>A 55010-2025</t>
        </is>
      </c>
      <c r="B750" s="1" t="n">
        <v>45967.6153587963</v>
      </c>
      <c r="C750" s="1" t="n">
        <v>46100</v>
      </c>
      <c r="D750" t="inlineStr">
        <is>
          <t>BLEKINGE LÄN</t>
        </is>
      </c>
      <c r="E750" t="inlineStr">
        <is>
          <t>KARLSKRONA</t>
        </is>
      </c>
      <c r="G750" t="n">
        <v>2.5</v>
      </c>
      <c r="H750" t="n">
        <v>0</v>
      </c>
      <c r="I750" t="n">
        <v>0</v>
      </c>
      <c r="J750" t="n">
        <v>0</v>
      </c>
      <c r="K750" t="n">
        <v>0</v>
      </c>
      <c r="L750" t="n">
        <v>0</v>
      </c>
      <c r="M750" t="n">
        <v>0</v>
      </c>
      <c r="N750" t="n">
        <v>0</v>
      </c>
      <c r="O750" t="n">
        <v>0</v>
      </c>
      <c r="P750" t="n">
        <v>0</v>
      </c>
      <c r="Q750" t="n">
        <v>0</v>
      </c>
      <c r="R750" s="2" t="inlineStr"/>
    </row>
    <row r="751" ht="15" customHeight="1">
      <c r="A751" t="inlineStr">
        <is>
          <t>A 49317-2025</t>
        </is>
      </c>
      <c r="B751" s="1" t="n">
        <v>45938</v>
      </c>
      <c r="C751" s="1" t="n">
        <v>46100</v>
      </c>
      <c r="D751" t="inlineStr">
        <is>
          <t>BLEKINGE LÄN</t>
        </is>
      </c>
      <c r="E751" t="inlineStr">
        <is>
          <t>KARLSKRONA</t>
        </is>
      </c>
      <c r="G751" t="n">
        <v>11.4</v>
      </c>
      <c r="H751" t="n">
        <v>0</v>
      </c>
      <c r="I751" t="n">
        <v>0</v>
      </c>
      <c r="J751" t="n">
        <v>0</v>
      </c>
      <c r="K751" t="n">
        <v>0</v>
      </c>
      <c r="L751" t="n">
        <v>0</v>
      </c>
      <c r="M751" t="n">
        <v>0</v>
      </c>
      <c r="N751" t="n">
        <v>0</v>
      </c>
      <c r="O751" t="n">
        <v>0</v>
      </c>
      <c r="P751" t="n">
        <v>0</v>
      </c>
      <c r="Q751" t="n">
        <v>0</v>
      </c>
      <c r="R751" s="2" t="inlineStr"/>
    </row>
    <row r="752" ht="15" customHeight="1">
      <c r="A752" t="inlineStr">
        <is>
          <t>A 33234-2023</t>
        </is>
      </c>
      <c r="B752" s="1" t="n">
        <v>45127.48940972222</v>
      </c>
      <c r="C752" s="1" t="n">
        <v>46100</v>
      </c>
      <c r="D752" t="inlineStr">
        <is>
          <t>BLEKINGE LÄN</t>
        </is>
      </c>
      <c r="E752" t="inlineStr">
        <is>
          <t>KARLSKRONA</t>
        </is>
      </c>
      <c r="G752" t="n">
        <v>1.5</v>
      </c>
      <c r="H752" t="n">
        <v>0</v>
      </c>
      <c r="I752" t="n">
        <v>0</v>
      </c>
      <c r="J752" t="n">
        <v>0</v>
      </c>
      <c r="K752" t="n">
        <v>0</v>
      </c>
      <c r="L752" t="n">
        <v>0</v>
      </c>
      <c r="M752" t="n">
        <v>0</v>
      </c>
      <c r="N752" t="n">
        <v>0</v>
      </c>
      <c r="O752" t="n">
        <v>0</v>
      </c>
      <c r="P752" t="n">
        <v>0</v>
      </c>
      <c r="Q752" t="n">
        <v>0</v>
      </c>
      <c r="R752" s="2" t="inlineStr"/>
    </row>
    <row r="753" ht="15" customHeight="1">
      <c r="A753" t="inlineStr">
        <is>
          <t>A 56600-2023</t>
        </is>
      </c>
      <c r="B753" s="1" t="n">
        <v>45238</v>
      </c>
      <c r="C753" s="1" t="n">
        <v>46100</v>
      </c>
      <c r="D753" t="inlineStr">
        <is>
          <t>BLEKINGE LÄN</t>
        </is>
      </c>
      <c r="E753" t="inlineStr">
        <is>
          <t>KARLSKRONA</t>
        </is>
      </c>
      <c r="G753" t="n">
        <v>2.1</v>
      </c>
      <c r="H753" t="n">
        <v>0</v>
      </c>
      <c r="I753" t="n">
        <v>0</v>
      </c>
      <c r="J753" t="n">
        <v>0</v>
      </c>
      <c r="K753" t="n">
        <v>0</v>
      </c>
      <c r="L753" t="n">
        <v>0</v>
      </c>
      <c r="M753" t="n">
        <v>0</v>
      </c>
      <c r="N753" t="n">
        <v>0</v>
      </c>
      <c r="O753" t="n">
        <v>0</v>
      </c>
      <c r="P753" t="n">
        <v>0</v>
      </c>
      <c r="Q753" t="n">
        <v>0</v>
      </c>
      <c r="R753" s="2" t="inlineStr"/>
    </row>
    <row r="754" ht="15" customHeight="1">
      <c r="A754" t="inlineStr">
        <is>
          <t>A 5556-2024</t>
        </is>
      </c>
      <c r="B754" s="1" t="n">
        <v>45334.4565162037</v>
      </c>
      <c r="C754" s="1" t="n">
        <v>46100</v>
      </c>
      <c r="D754" t="inlineStr">
        <is>
          <t>BLEKINGE LÄN</t>
        </is>
      </c>
      <c r="E754" t="inlineStr">
        <is>
          <t>KARLSKRONA</t>
        </is>
      </c>
      <c r="G754" t="n">
        <v>4.8</v>
      </c>
      <c r="H754" t="n">
        <v>0</v>
      </c>
      <c r="I754" t="n">
        <v>0</v>
      </c>
      <c r="J754" t="n">
        <v>0</v>
      </c>
      <c r="K754" t="n">
        <v>0</v>
      </c>
      <c r="L754" t="n">
        <v>0</v>
      </c>
      <c r="M754" t="n">
        <v>0</v>
      </c>
      <c r="N754" t="n">
        <v>0</v>
      </c>
      <c r="O754" t="n">
        <v>0</v>
      </c>
      <c r="P754" t="n">
        <v>0</v>
      </c>
      <c r="Q754" t="n">
        <v>0</v>
      </c>
      <c r="R754" s="2" t="inlineStr"/>
    </row>
    <row r="755" ht="15" customHeight="1">
      <c r="A755" t="inlineStr">
        <is>
          <t>A 6470-2025</t>
        </is>
      </c>
      <c r="B755" s="1" t="n">
        <v>45699.59120370371</v>
      </c>
      <c r="C755" s="1" t="n">
        <v>46100</v>
      </c>
      <c r="D755" t="inlineStr">
        <is>
          <t>BLEKINGE LÄN</t>
        </is>
      </c>
      <c r="E755" t="inlineStr">
        <is>
          <t>KARLSKRONA</t>
        </is>
      </c>
      <c r="G755" t="n">
        <v>1.6</v>
      </c>
      <c r="H755" t="n">
        <v>0</v>
      </c>
      <c r="I755" t="n">
        <v>0</v>
      </c>
      <c r="J755" t="n">
        <v>0</v>
      </c>
      <c r="K755" t="n">
        <v>0</v>
      </c>
      <c r="L755" t="n">
        <v>0</v>
      </c>
      <c r="M755" t="n">
        <v>0</v>
      </c>
      <c r="N755" t="n">
        <v>0</v>
      </c>
      <c r="O755" t="n">
        <v>0</v>
      </c>
      <c r="P755" t="n">
        <v>0</v>
      </c>
      <c r="Q755" t="n">
        <v>0</v>
      </c>
      <c r="R755" s="2" t="inlineStr"/>
    </row>
    <row r="756" ht="15" customHeight="1">
      <c r="A756" t="inlineStr">
        <is>
          <t>A 664-2025</t>
        </is>
      </c>
      <c r="B756" s="1" t="n">
        <v>45662</v>
      </c>
      <c r="C756" s="1" t="n">
        <v>46100</v>
      </c>
      <c r="D756" t="inlineStr">
        <is>
          <t>BLEKINGE LÄN</t>
        </is>
      </c>
      <c r="E756" t="inlineStr">
        <is>
          <t>KARLSKRONA</t>
        </is>
      </c>
      <c r="G756" t="n">
        <v>0.7</v>
      </c>
      <c r="H756" t="n">
        <v>0</v>
      </c>
      <c r="I756" t="n">
        <v>0</v>
      </c>
      <c r="J756" t="n">
        <v>0</v>
      </c>
      <c r="K756" t="n">
        <v>0</v>
      </c>
      <c r="L756" t="n">
        <v>0</v>
      </c>
      <c r="M756" t="n">
        <v>0</v>
      </c>
      <c r="N756" t="n">
        <v>0</v>
      </c>
      <c r="O756" t="n">
        <v>0</v>
      </c>
      <c r="P756" t="n">
        <v>0</v>
      </c>
      <c r="Q756" t="n">
        <v>0</v>
      </c>
      <c r="R756" s="2" t="inlineStr"/>
    </row>
    <row r="757" ht="15" customHeight="1">
      <c r="A757" t="inlineStr">
        <is>
          <t>A 27841-2021</t>
        </is>
      </c>
      <c r="B757" s="1" t="n">
        <v>44354</v>
      </c>
      <c r="C757" s="1" t="n">
        <v>46100</v>
      </c>
      <c r="D757" t="inlineStr">
        <is>
          <t>BLEKINGE LÄN</t>
        </is>
      </c>
      <c r="E757" t="inlineStr">
        <is>
          <t>KARLSKRONA</t>
        </is>
      </c>
      <c r="G757" t="n">
        <v>5.8</v>
      </c>
      <c r="H757" t="n">
        <v>0</v>
      </c>
      <c r="I757" t="n">
        <v>0</v>
      </c>
      <c r="J757" t="n">
        <v>0</v>
      </c>
      <c r="K757" t="n">
        <v>0</v>
      </c>
      <c r="L757" t="n">
        <v>0</v>
      </c>
      <c r="M757" t="n">
        <v>0</v>
      </c>
      <c r="N757" t="n">
        <v>0</v>
      </c>
      <c r="O757" t="n">
        <v>0</v>
      </c>
      <c r="P757" t="n">
        <v>0</v>
      </c>
      <c r="Q757" t="n">
        <v>0</v>
      </c>
      <c r="R757" s="2" t="inlineStr"/>
    </row>
    <row r="758" ht="15" customHeight="1">
      <c r="A758" t="inlineStr">
        <is>
          <t>A 58004-2024</t>
        </is>
      </c>
      <c r="B758" s="1" t="n">
        <v>45631</v>
      </c>
      <c r="C758" s="1" t="n">
        <v>46100</v>
      </c>
      <c r="D758" t="inlineStr">
        <is>
          <t>BLEKINGE LÄN</t>
        </is>
      </c>
      <c r="E758" t="inlineStr">
        <is>
          <t>KARLSKRONA</t>
        </is>
      </c>
      <c r="G758" t="n">
        <v>1.2</v>
      </c>
      <c r="H758" t="n">
        <v>0</v>
      </c>
      <c r="I758" t="n">
        <v>0</v>
      </c>
      <c r="J758" t="n">
        <v>0</v>
      </c>
      <c r="K758" t="n">
        <v>0</v>
      </c>
      <c r="L758" t="n">
        <v>0</v>
      </c>
      <c r="M758" t="n">
        <v>0</v>
      </c>
      <c r="N758" t="n">
        <v>0</v>
      </c>
      <c r="O758" t="n">
        <v>0</v>
      </c>
      <c r="P758" t="n">
        <v>0</v>
      </c>
      <c r="Q758" t="n">
        <v>0</v>
      </c>
      <c r="R758" s="2" t="inlineStr"/>
    </row>
    <row r="759" ht="15" customHeight="1">
      <c r="A759" t="inlineStr">
        <is>
          <t>A 35464-2024</t>
        </is>
      </c>
      <c r="B759" s="1" t="n">
        <v>45531.4630787037</v>
      </c>
      <c r="C759" s="1" t="n">
        <v>46100</v>
      </c>
      <c r="D759" t="inlineStr">
        <is>
          <t>BLEKINGE LÄN</t>
        </is>
      </c>
      <c r="E759" t="inlineStr">
        <is>
          <t>KARLSKRONA</t>
        </is>
      </c>
      <c r="G759" t="n">
        <v>7.8</v>
      </c>
      <c r="H759" t="n">
        <v>0</v>
      </c>
      <c r="I759" t="n">
        <v>0</v>
      </c>
      <c r="J759" t="n">
        <v>0</v>
      </c>
      <c r="K759" t="n">
        <v>0</v>
      </c>
      <c r="L759" t="n">
        <v>0</v>
      </c>
      <c r="M759" t="n">
        <v>0</v>
      </c>
      <c r="N759" t="n">
        <v>0</v>
      </c>
      <c r="O759" t="n">
        <v>0</v>
      </c>
      <c r="P759" t="n">
        <v>0</v>
      </c>
      <c r="Q759" t="n">
        <v>0</v>
      </c>
      <c r="R759" s="2" t="inlineStr"/>
    </row>
    <row r="760" ht="15" customHeight="1">
      <c r="A760" t="inlineStr">
        <is>
          <t>A 55113-2025</t>
        </is>
      </c>
      <c r="B760" s="1" t="n">
        <v>45968.38364583333</v>
      </c>
      <c r="C760" s="1" t="n">
        <v>46100</v>
      </c>
      <c r="D760" t="inlineStr">
        <is>
          <t>BLEKINGE LÄN</t>
        </is>
      </c>
      <c r="E760" t="inlineStr">
        <is>
          <t>KARLSKRONA</t>
        </is>
      </c>
      <c r="G760" t="n">
        <v>2.5</v>
      </c>
      <c r="H760" t="n">
        <v>0</v>
      </c>
      <c r="I760" t="n">
        <v>0</v>
      </c>
      <c r="J760" t="n">
        <v>0</v>
      </c>
      <c r="K760" t="n">
        <v>0</v>
      </c>
      <c r="L760" t="n">
        <v>0</v>
      </c>
      <c r="M760" t="n">
        <v>0</v>
      </c>
      <c r="N760" t="n">
        <v>0</v>
      </c>
      <c r="O760" t="n">
        <v>0</v>
      </c>
      <c r="P760" t="n">
        <v>0</v>
      </c>
      <c r="Q760" t="n">
        <v>0</v>
      </c>
      <c r="R760" s="2" t="inlineStr"/>
    </row>
    <row r="761" ht="15" customHeight="1">
      <c r="A761" t="inlineStr">
        <is>
          <t>A 10980-2023</t>
        </is>
      </c>
      <c r="B761" s="1" t="n">
        <v>44991.60873842592</v>
      </c>
      <c r="C761" s="1" t="n">
        <v>46100</v>
      </c>
      <c r="D761" t="inlineStr">
        <is>
          <t>BLEKINGE LÄN</t>
        </is>
      </c>
      <c r="E761" t="inlineStr">
        <is>
          <t>KARLSKRONA</t>
        </is>
      </c>
      <c r="G761" t="n">
        <v>1.7</v>
      </c>
      <c r="H761" t="n">
        <v>0</v>
      </c>
      <c r="I761" t="n">
        <v>0</v>
      </c>
      <c r="J761" t="n">
        <v>0</v>
      </c>
      <c r="K761" t="n">
        <v>0</v>
      </c>
      <c r="L761" t="n">
        <v>0</v>
      </c>
      <c r="M761" t="n">
        <v>0</v>
      </c>
      <c r="N761" t="n">
        <v>0</v>
      </c>
      <c r="O761" t="n">
        <v>0</v>
      </c>
      <c r="P761" t="n">
        <v>0</v>
      </c>
      <c r="Q761" t="n">
        <v>0</v>
      </c>
      <c r="R761" s="2" t="inlineStr"/>
    </row>
    <row r="762" ht="15" customHeight="1">
      <c r="A762" t="inlineStr">
        <is>
          <t>A 10629-2022</t>
        </is>
      </c>
      <c r="B762" s="1" t="n">
        <v>44624</v>
      </c>
      <c r="C762" s="1" t="n">
        <v>46100</v>
      </c>
      <c r="D762" t="inlineStr">
        <is>
          <t>BLEKINGE LÄN</t>
        </is>
      </c>
      <c r="E762" t="inlineStr">
        <is>
          <t>KARLSKRONA</t>
        </is>
      </c>
      <c r="G762" t="n">
        <v>2.3</v>
      </c>
      <c r="H762" t="n">
        <v>0</v>
      </c>
      <c r="I762" t="n">
        <v>0</v>
      </c>
      <c r="J762" t="n">
        <v>0</v>
      </c>
      <c r="K762" t="n">
        <v>0</v>
      </c>
      <c r="L762" t="n">
        <v>0</v>
      </c>
      <c r="M762" t="n">
        <v>0</v>
      </c>
      <c r="N762" t="n">
        <v>0</v>
      </c>
      <c r="O762" t="n">
        <v>0</v>
      </c>
      <c r="P762" t="n">
        <v>0</v>
      </c>
      <c r="Q762" t="n">
        <v>0</v>
      </c>
      <c r="R762" s="2" t="inlineStr"/>
    </row>
    <row r="763" ht="15" customHeight="1">
      <c r="A763" t="inlineStr">
        <is>
          <t>A 2093-2023</t>
        </is>
      </c>
      <c r="B763" s="1" t="n">
        <v>44939</v>
      </c>
      <c r="C763" s="1" t="n">
        <v>46100</v>
      </c>
      <c r="D763" t="inlineStr">
        <is>
          <t>BLEKINGE LÄN</t>
        </is>
      </c>
      <c r="E763" t="inlineStr">
        <is>
          <t>KARLSKRONA</t>
        </is>
      </c>
      <c r="G763" t="n">
        <v>1.5</v>
      </c>
      <c r="H763" t="n">
        <v>0</v>
      </c>
      <c r="I763" t="n">
        <v>0</v>
      </c>
      <c r="J763" t="n">
        <v>0</v>
      </c>
      <c r="K763" t="n">
        <v>0</v>
      </c>
      <c r="L763" t="n">
        <v>0</v>
      </c>
      <c r="M763" t="n">
        <v>0</v>
      </c>
      <c r="N763" t="n">
        <v>0</v>
      </c>
      <c r="O763" t="n">
        <v>0</v>
      </c>
      <c r="P763" t="n">
        <v>0</v>
      </c>
      <c r="Q763" t="n">
        <v>0</v>
      </c>
      <c r="R763" s="2" t="inlineStr"/>
    </row>
    <row r="764" ht="15" customHeight="1">
      <c r="A764" t="inlineStr">
        <is>
          <t>A 2094-2023</t>
        </is>
      </c>
      <c r="B764" s="1" t="n">
        <v>44939.68549768518</v>
      </c>
      <c r="C764" s="1" t="n">
        <v>46100</v>
      </c>
      <c r="D764" t="inlineStr">
        <is>
          <t>BLEKINGE LÄN</t>
        </is>
      </c>
      <c r="E764" t="inlineStr">
        <is>
          <t>KARLSKRONA</t>
        </is>
      </c>
      <c r="G764" t="n">
        <v>1</v>
      </c>
      <c r="H764" t="n">
        <v>0</v>
      </c>
      <c r="I764" t="n">
        <v>0</v>
      </c>
      <c r="J764" t="n">
        <v>0</v>
      </c>
      <c r="K764" t="n">
        <v>0</v>
      </c>
      <c r="L764" t="n">
        <v>0</v>
      </c>
      <c r="M764" t="n">
        <v>0</v>
      </c>
      <c r="N764" t="n">
        <v>0</v>
      </c>
      <c r="O764" t="n">
        <v>0</v>
      </c>
      <c r="P764" t="n">
        <v>0</v>
      </c>
      <c r="Q764" t="n">
        <v>0</v>
      </c>
      <c r="R764" s="2" t="inlineStr"/>
    </row>
    <row r="765" ht="15" customHeight="1">
      <c r="A765" t="inlineStr">
        <is>
          <t>A 14355-2024</t>
        </is>
      </c>
      <c r="B765" s="1" t="n">
        <v>45393.86842592592</v>
      </c>
      <c r="C765" s="1" t="n">
        <v>46100</v>
      </c>
      <c r="D765" t="inlineStr">
        <is>
          <t>BLEKINGE LÄN</t>
        </is>
      </c>
      <c r="E765" t="inlineStr">
        <is>
          <t>KARLSKRONA</t>
        </is>
      </c>
      <c r="G765" t="n">
        <v>12.6</v>
      </c>
      <c r="H765" t="n">
        <v>0</v>
      </c>
      <c r="I765" t="n">
        <v>0</v>
      </c>
      <c r="J765" t="n">
        <v>0</v>
      </c>
      <c r="K765" t="n">
        <v>0</v>
      </c>
      <c r="L765" t="n">
        <v>0</v>
      </c>
      <c r="M765" t="n">
        <v>0</v>
      </c>
      <c r="N765" t="n">
        <v>0</v>
      </c>
      <c r="O765" t="n">
        <v>0</v>
      </c>
      <c r="P765" t="n">
        <v>0</v>
      </c>
      <c r="Q765" t="n">
        <v>0</v>
      </c>
      <c r="R765" s="2" t="inlineStr"/>
    </row>
    <row r="766" ht="15" customHeight="1">
      <c r="A766" t="inlineStr">
        <is>
          <t>A 63981-2023</t>
        </is>
      </c>
      <c r="B766" s="1" t="n">
        <v>45278.72490740741</v>
      </c>
      <c r="C766" s="1" t="n">
        <v>46100</v>
      </c>
      <c r="D766" t="inlineStr">
        <is>
          <t>BLEKINGE LÄN</t>
        </is>
      </c>
      <c r="E766" t="inlineStr">
        <is>
          <t>KARLSKRONA</t>
        </is>
      </c>
      <c r="G766" t="n">
        <v>1</v>
      </c>
      <c r="H766" t="n">
        <v>0</v>
      </c>
      <c r="I766" t="n">
        <v>0</v>
      </c>
      <c r="J766" t="n">
        <v>0</v>
      </c>
      <c r="K766" t="n">
        <v>0</v>
      </c>
      <c r="L766" t="n">
        <v>0</v>
      </c>
      <c r="M766" t="n">
        <v>0</v>
      </c>
      <c r="N766" t="n">
        <v>0</v>
      </c>
      <c r="O766" t="n">
        <v>0</v>
      </c>
      <c r="P766" t="n">
        <v>0</v>
      </c>
      <c r="Q766" t="n">
        <v>0</v>
      </c>
      <c r="R766" s="2" t="inlineStr"/>
    </row>
    <row r="767" ht="15" customHeight="1">
      <c r="A767" t="inlineStr">
        <is>
          <t>A 47992-2023</t>
        </is>
      </c>
      <c r="B767" s="1" t="n">
        <v>45204.62678240741</v>
      </c>
      <c r="C767" s="1" t="n">
        <v>46100</v>
      </c>
      <c r="D767" t="inlineStr">
        <is>
          <t>BLEKINGE LÄN</t>
        </is>
      </c>
      <c r="E767" t="inlineStr">
        <is>
          <t>KARLSKRONA</t>
        </is>
      </c>
      <c r="G767" t="n">
        <v>0.7</v>
      </c>
      <c r="H767" t="n">
        <v>0</v>
      </c>
      <c r="I767" t="n">
        <v>0</v>
      </c>
      <c r="J767" t="n">
        <v>0</v>
      </c>
      <c r="K767" t="n">
        <v>0</v>
      </c>
      <c r="L767" t="n">
        <v>0</v>
      </c>
      <c r="M767" t="n">
        <v>0</v>
      </c>
      <c r="N767" t="n">
        <v>0</v>
      </c>
      <c r="O767" t="n">
        <v>0</v>
      </c>
      <c r="P767" t="n">
        <v>0</v>
      </c>
      <c r="Q767" t="n">
        <v>0</v>
      </c>
      <c r="R767" s="2" t="inlineStr"/>
    </row>
    <row r="768" ht="15" customHeight="1">
      <c r="A768" t="inlineStr">
        <is>
          <t>A 55834-2025</t>
        </is>
      </c>
      <c r="B768" s="1" t="n">
        <v>45972.83649305555</v>
      </c>
      <c r="C768" s="1" t="n">
        <v>46100</v>
      </c>
      <c r="D768" t="inlineStr">
        <is>
          <t>BLEKINGE LÄN</t>
        </is>
      </c>
      <c r="E768" t="inlineStr">
        <is>
          <t>KARLSKRONA</t>
        </is>
      </c>
      <c r="G768" t="n">
        <v>1.3</v>
      </c>
      <c r="H768" t="n">
        <v>0</v>
      </c>
      <c r="I768" t="n">
        <v>0</v>
      </c>
      <c r="J768" t="n">
        <v>0</v>
      </c>
      <c r="K768" t="n">
        <v>0</v>
      </c>
      <c r="L768" t="n">
        <v>0</v>
      </c>
      <c r="M768" t="n">
        <v>0</v>
      </c>
      <c r="N768" t="n">
        <v>0</v>
      </c>
      <c r="O768" t="n">
        <v>0</v>
      </c>
      <c r="P768" t="n">
        <v>0</v>
      </c>
      <c r="Q768" t="n">
        <v>0</v>
      </c>
      <c r="R768" s="2" t="inlineStr"/>
    </row>
    <row r="769" ht="15" customHeight="1">
      <c r="A769" t="inlineStr">
        <is>
          <t>A 55616-2025</t>
        </is>
      </c>
      <c r="B769" s="1" t="n">
        <v>45971.94402777778</v>
      </c>
      <c r="C769" s="1" t="n">
        <v>46100</v>
      </c>
      <c r="D769" t="inlineStr">
        <is>
          <t>BLEKINGE LÄN</t>
        </is>
      </c>
      <c r="E769" t="inlineStr">
        <is>
          <t>KARLSKRONA</t>
        </is>
      </c>
      <c r="G769" t="n">
        <v>2.2</v>
      </c>
      <c r="H769" t="n">
        <v>0</v>
      </c>
      <c r="I769" t="n">
        <v>0</v>
      </c>
      <c r="J769" t="n">
        <v>0</v>
      </c>
      <c r="K769" t="n">
        <v>0</v>
      </c>
      <c r="L769" t="n">
        <v>0</v>
      </c>
      <c r="M769" t="n">
        <v>0</v>
      </c>
      <c r="N769" t="n">
        <v>0</v>
      </c>
      <c r="O769" t="n">
        <v>0</v>
      </c>
      <c r="P769" t="n">
        <v>0</v>
      </c>
      <c r="Q769" t="n">
        <v>0</v>
      </c>
      <c r="R769" s="2" t="inlineStr"/>
    </row>
    <row r="770" ht="15" customHeight="1">
      <c r="A770" t="inlineStr">
        <is>
          <t>A 55617-2025</t>
        </is>
      </c>
      <c r="B770" s="1" t="n">
        <v>45971.94936342593</v>
      </c>
      <c r="C770" s="1" t="n">
        <v>46100</v>
      </c>
      <c r="D770" t="inlineStr">
        <is>
          <t>BLEKINGE LÄN</t>
        </is>
      </c>
      <c r="E770" t="inlineStr">
        <is>
          <t>KARLSKRONA</t>
        </is>
      </c>
      <c r="G770" t="n">
        <v>3.5</v>
      </c>
      <c r="H770" t="n">
        <v>0</v>
      </c>
      <c r="I770" t="n">
        <v>0</v>
      </c>
      <c r="J770" t="n">
        <v>0</v>
      </c>
      <c r="K770" t="n">
        <v>0</v>
      </c>
      <c r="L770" t="n">
        <v>0</v>
      </c>
      <c r="M770" t="n">
        <v>0</v>
      </c>
      <c r="N770" t="n">
        <v>0</v>
      </c>
      <c r="O770" t="n">
        <v>0</v>
      </c>
      <c r="P770" t="n">
        <v>0</v>
      </c>
      <c r="Q770" t="n">
        <v>0</v>
      </c>
      <c r="R770" s="2" t="inlineStr"/>
    </row>
    <row r="771" ht="15" customHeight="1">
      <c r="A771" t="inlineStr">
        <is>
          <t>A 56088-2025</t>
        </is>
      </c>
      <c r="B771" s="1" t="n">
        <v>45973.66715277778</v>
      </c>
      <c r="C771" s="1" t="n">
        <v>46100</v>
      </c>
      <c r="D771" t="inlineStr">
        <is>
          <t>BLEKINGE LÄN</t>
        </is>
      </c>
      <c r="E771" t="inlineStr">
        <is>
          <t>KARLSKRONA</t>
        </is>
      </c>
      <c r="G771" t="n">
        <v>1.3</v>
      </c>
      <c r="H771" t="n">
        <v>0</v>
      </c>
      <c r="I771" t="n">
        <v>0</v>
      </c>
      <c r="J771" t="n">
        <v>0</v>
      </c>
      <c r="K771" t="n">
        <v>0</v>
      </c>
      <c r="L771" t="n">
        <v>0</v>
      </c>
      <c r="M771" t="n">
        <v>0</v>
      </c>
      <c r="N771" t="n">
        <v>0</v>
      </c>
      <c r="O771" t="n">
        <v>0</v>
      </c>
      <c r="P771" t="n">
        <v>0</v>
      </c>
      <c r="Q771" t="n">
        <v>0</v>
      </c>
      <c r="R771" s="2" t="inlineStr"/>
    </row>
    <row r="772" ht="15" customHeight="1">
      <c r="A772" t="inlineStr">
        <is>
          <t>A 6199-2025</t>
        </is>
      </c>
      <c r="B772" s="1" t="n">
        <v>45698.47751157408</v>
      </c>
      <c r="C772" s="1" t="n">
        <v>46100</v>
      </c>
      <c r="D772" t="inlineStr">
        <is>
          <t>BLEKINGE LÄN</t>
        </is>
      </c>
      <c r="E772" t="inlineStr">
        <is>
          <t>KARLSKRONA</t>
        </is>
      </c>
      <c r="G772" t="n">
        <v>1</v>
      </c>
      <c r="H772" t="n">
        <v>0</v>
      </c>
      <c r="I772" t="n">
        <v>0</v>
      </c>
      <c r="J772" t="n">
        <v>0</v>
      </c>
      <c r="K772" t="n">
        <v>0</v>
      </c>
      <c r="L772" t="n">
        <v>0</v>
      </c>
      <c r="M772" t="n">
        <v>0</v>
      </c>
      <c r="N772" t="n">
        <v>0</v>
      </c>
      <c r="O772" t="n">
        <v>0</v>
      </c>
      <c r="P772" t="n">
        <v>0</v>
      </c>
      <c r="Q772" t="n">
        <v>0</v>
      </c>
      <c r="R772" s="2" t="inlineStr"/>
    </row>
    <row r="773" ht="15" customHeight="1">
      <c r="A773" t="inlineStr">
        <is>
          <t>A 42174-2023</t>
        </is>
      </c>
      <c r="B773" s="1" t="n">
        <v>45178</v>
      </c>
      <c r="C773" s="1" t="n">
        <v>46100</v>
      </c>
      <c r="D773" t="inlineStr">
        <is>
          <t>BLEKINGE LÄN</t>
        </is>
      </c>
      <c r="E773" t="inlineStr">
        <is>
          <t>KARLSKRONA</t>
        </is>
      </c>
      <c r="G773" t="n">
        <v>4.6</v>
      </c>
      <c r="H773" t="n">
        <v>0</v>
      </c>
      <c r="I773" t="n">
        <v>0</v>
      </c>
      <c r="J773" t="n">
        <v>0</v>
      </c>
      <c r="K773" t="n">
        <v>0</v>
      </c>
      <c r="L773" t="n">
        <v>0</v>
      </c>
      <c r="M773" t="n">
        <v>0</v>
      </c>
      <c r="N773" t="n">
        <v>0</v>
      </c>
      <c r="O773" t="n">
        <v>0</v>
      </c>
      <c r="P773" t="n">
        <v>0</v>
      </c>
      <c r="Q773" t="n">
        <v>0</v>
      </c>
      <c r="R773" s="2" t="inlineStr"/>
    </row>
    <row r="774" ht="15" customHeight="1">
      <c r="A774" t="inlineStr">
        <is>
          <t>A 3328-2022</t>
        </is>
      </c>
      <c r="B774" s="1" t="n">
        <v>44585.33765046296</v>
      </c>
      <c r="C774" s="1" t="n">
        <v>46100</v>
      </c>
      <c r="D774" t="inlineStr">
        <is>
          <t>BLEKINGE LÄN</t>
        </is>
      </c>
      <c r="E774" t="inlineStr">
        <is>
          <t>KARLSKRONA</t>
        </is>
      </c>
      <c r="G774" t="n">
        <v>0.9</v>
      </c>
      <c r="H774" t="n">
        <v>0</v>
      </c>
      <c r="I774" t="n">
        <v>0</v>
      </c>
      <c r="J774" t="n">
        <v>0</v>
      </c>
      <c r="K774" t="n">
        <v>0</v>
      </c>
      <c r="L774" t="n">
        <v>0</v>
      </c>
      <c r="M774" t="n">
        <v>0</v>
      </c>
      <c r="N774" t="n">
        <v>0</v>
      </c>
      <c r="O774" t="n">
        <v>0</v>
      </c>
      <c r="P774" t="n">
        <v>0</v>
      </c>
      <c r="Q774" t="n">
        <v>0</v>
      </c>
      <c r="R774" s="2" t="inlineStr"/>
    </row>
    <row r="775" ht="15" customHeight="1">
      <c r="A775" t="inlineStr">
        <is>
          <t>A 21148-2023</t>
        </is>
      </c>
      <c r="B775" s="1" t="n">
        <v>45062.38054398148</v>
      </c>
      <c r="C775" s="1" t="n">
        <v>46100</v>
      </c>
      <c r="D775" t="inlineStr">
        <is>
          <t>BLEKINGE LÄN</t>
        </is>
      </c>
      <c r="E775" t="inlineStr">
        <is>
          <t>KARLSKRONA</t>
        </is>
      </c>
      <c r="G775" t="n">
        <v>1.8</v>
      </c>
      <c r="H775" t="n">
        <v>0</v>
      </c>
      <c r="I775" t="n">
        <v>0</v>
      </c>
      <c r="J775" t="n">
        <v>0</v>
      </c>
      <c r="K775" t="n">
        <v>0</v>
      </c>
      <c r="L775" t="n">
        <v>0</v>
      </c>
      <c r="M775" t="n">
        <v>0</v>
      </c>
      <c r="N775" t="n">
        <v>0</v>
      </c>
      <c r="O775" t="n">
        <v>0</v>
      </c>
      <c r="P775" t="n">
        <v>0</v>
      </c>
      <c r="Q775" t="n">
        <v>0</v>
      </c>
      <c r="R775" s="2" t="inlineStr"/>
    </row>
    <row r="776" ht="15" customHeight="1">
      <c r="A776" t="inlineStr">
        <is>
          <t>A 50831-2024</t>
        </is>
      </c>
      <c r="B776" s="1" t="n">
        <v>45602.58842592593</v>
      </c>
      <c r="C776" s="1" t="n">
        <v>46100</v>
      </c>
      <c r="D776" t="inlineStr">
        <is>
          <t>BLEKINGE LÄN</t>
        </is>
      </c>
      <c r="E776" t="inlineStr">
        <is>
          <t>KARLSKRONA</t>
        </is>
      </c>
      <c r="G776" t="n">
        <v>2.6</v>
      </c>
      <c r="H776" t="n">
        <v>0</v>
      </c>
      <c r="I776" t="n">
        <v>0</v>
      </c>
      <c r="J776" t="n">
        <v>0</v>
      </c>
      <c r="K776" t="n">
        <v>0</v>
      </c>
      <c r="L776" t="n">
        <v>0</v>
      </c>
      <c r="M776" t="n">
        <v>0</v>
      </c>
      <c r="N776" t="n">
        <v>0</v>
      </c>
      <c r="O776" t="n">
        <v>0</v>
      </c>
      <c r="P776" t="n">
        <v>0</v>
      </c>
      <c r="Q776" t="n">
        <v>0</v>
      </c>
      <c r="R776" s="2" t="inlineStr"/>
    </row>
    <row r="777" ht="15" customHeight="1">
      <c r="A777" t="inlineStr">
        <is>
          <t>A 50846-2024</t>
        </is>
      </c>
      <c r="B777" s="1" t="n">
        <v>45602.61121527778</v>
      </c>
      <c r="C777" s="1" t="n">
        <v>46100</v>
      </c>
      <c r="D777" t="inlineStr">
        <is>
          <t>BLEKINGE LÄN</t>
        </is>
      </c>
      <c r="E777" t="inlineStr">
        <is>
          <t>KARLSKRONA</t>
        </is>
      </c>
      <c r="G777" t="n">
        <v>1.2</v>
      </c>
      <c r="H777" t="n">
        <v>0</v>
      </c>
      <c r="I777" t="n">
        <v>0</v>
      </c>
      <c r="J777" t="n">
        <v>0</v>
      </c>
      <c r="K777" t="n">
        <v>0</v>
      </c>
      <c r="L777" t="n">
        <v>0</v>
      </c>
      <c r="M777" t="n">
        <v>0</v>
      </c>
      <c r="N777" t="n">
        <v>0</v>
      </c>
      <c r="O777" t="n">
        <v>0</v>
      </c>
      <c r="P777" t="n">
        <v>0</v>
      </c>
      <c r="Q777" t="n">
        <v>0</v>
      </c>
      <c r="R777" s="2" t="inlineStr"/>
    </row>
    <row r="778" ht="15" customHeight="1">
      <c r="A778" t="inlineStr">
        <is>
          <t>A 13411-2025</t>
        </is>
      </c>
      <c r="B778" s="1" t="n">
        <v>45735.96366898148</v>
      </c>
      <c r="C778" s="1" t="n">
        <v>46100</v>
      </c>
      <c r="D778" t="inlineStr">
        <is>
          <t>BLEKINGE LÄN</t>
        </is>
      </c>
      <c r="E778" t="inlineStr">
        <is>
          <t>KARLSKRONA</t>
        </is>
      </c>
      <c r="G778" t="n">
        <v>11.8</v>
      </c>
      <c r="H778" t="n">
        <v>0</v>
      </c>
      <c r="I778" t="n">
        <v>0</v>
      </c>
      <c r="J778" t="n">
        <v>0</v>
      </c>
      <c r="K778" t="n">
        <v>0</v>
      </c>
      <c r="L778" t="n">
        <v>0</v>
      </c>
      <c r="M778" t="n">
        <v>0</v>
      </c>
      <c r="N778" t="n">
        <v>0</v>
      </c>
      <c r="O778" t="n">
        <v>0</v>
      </c>
      <c r="P778" t="n">
        <v>0</v>
      </c>
      <c r="Q778" t="n">
        <v>0</v>
      </c>
      <c r="R778" s="2" t="inlineStr"/>
    </row>
    <row r="779" ht="15" customHeight="1">
      <c r="A779" t="inlineStr">
        <is>
          <t>A 58040-2022</t>
        </is>
      </c>
      <c r="B779" s="1" t="n">
        <v>44893</v>
      </c>
      <c r="C779" s="1" t="n">
        <v>46100</v>
      </c>
      <c r="D779" t="inlineStr">
        <is>
          <t>BLEKINGE LÄN</t>
        </is>
      </c>
      <c r="E779" t="inlineStr">
        <is>
          <t>KARLSKRONA</t>
        </is>
      </c>
      <c r="G779" t="n">
        <v>2</v>
      </c>
      <c r="H779" t="n">
        <v>0</v>
      </c>
      <c r="I779" t="n">
        <v>0</v>
      </c>
      <c r="J779" t="n">
        <v>0</v>
      </c>
      <c r="K779" t="n">
        <v>0</v>
      </c>
      <c r="L779" t="n">
        <v>0</v>
      </c>
      <c r="M779" t="n">
        <v>0</v>
      </c>
      <c r="N779" t="n">
        <v>0</v>
      </c>
      <c r="O779" t="n">
        <v>0</v>
      </c>
      <c r="P779" t="n">
        <v>0</v>
      </c>
      <c r="Q779" t="n">
        <v>0</v>
      </c>
      <c r="R779" s="2" t="inlineStr"/>
    </row>
    <row r="780" ht="15" customHeight="1">
      <c r="A780" t="inlineStr">
        <is>
          <t>A 14496-2024</t>
        </is>
      </c>
      <c r="B780" s="1" t="n">
        <v>45394.58707175926</v>
      </c>
      <c r="C780" s="1" t="n">
        <v>46100</v>
      </c>
      <c r="D780" t="inlineStr">
        <is>
          <t>BLEKINGE LÄN</t>
        </is>
      </c>
      <c r="E780" t="inlineStr">
        <is>
          <t>KARLSKRONA</t>
        </is>
      </c>
      <c r="G780" t="n">
        <v>0.6</v>
      </c>
      <c r="H780" t="n">
        <v>0</v>
      </c>
      <c r="I780" t="n">
        <v>0</v>
      </c>
      <c r="J780" t="n">
        <v>0</v>
      </c>
      <c r="K780" t="n">
        <v>0</v>
      </c>
      <c r="L780" t="n">
        <v>0</v>
      </c>
      <c r="M780" t="n">
        <v>0</v>
      </c>
      <c r="N780" t="n">
        <v>0</v>
      </c>
      <c r="O780" t="n">
        <v>0</v>
      </c>
      <c r="P780" t="n">
        <v>0</v>
      </c>
      <c r="Q780" t="n">
        <v>0</v>
      </c>
      <c r="R780" s="2" t="inlineStr"/>
    </row>
    <row r="781" ht="15" customHeight="1">
      <c r="A781" t="inlineStr">
        <is>
          <t>A 7129-2024</t>
        </is>
      </c>
      <c r="B781" s="1" t="n">
        <v>45344.35084490741</v>
      </c>
      <c r="C781" s="1" t="n">
        <v>46100</v>
      </c>
      <c r="D781" t="inlineStr">
        <is>
          <t>BLEKINGE LÄN</t>
        </is>
      </c>
      <c r="E781" t="inlineStr">
        <is>
          <t>KARLSKRONA</t>
        </is>
      </c>
      <c r="G781" t="n">
        <v>0.6</v>
      </c>
      <c r="H781" t="n">
        <v>0</v>
      </c>
      <c r="I781" t="n">
        <v>0</v>
      </c>
      <c r="J781" t="n">
        <v>0</v>
      </c>
      <c r="K781" t="n">
        <v>0</v>
      </c>
      <c r="L781" t="n">
        <v>0</v>
      </c>
      <c r="M781" t="n">
        <v>0</v>
      </c>
      <c r="N781" t="n">
        <v>0</v>
      </c>
      <c r="O781" t="n">
        <v>0</v>
      </c>
      <c r="P781" t="n">
        <v>0</v>
      </c>
      <c r="Q781" t="n">
        <v>0</v>
      </c>
      <c r="R781" s="2" t="inlineStr"/>
    </row>
    <row r="782" ht="15" customHeight="1">
      <c r="A782" t="inlineStr">
        <is>
          <t>A 22643-2025</t>
        </is>
      </c>
      <c r="B782" s="1" t="n">
        <v>45789.45869212963</v>
      </c>
      <c r="C782" s="1" t="n">
        <v>46100</v>
      </c>
      <c r="D782" t="inlineStr">
        <is>
          <t>BLEKINGE LÄN</t>
        </is>
      </c>
      <c r="E782" t="inlineStr">
        <is>
          <t>KARLSKRONA</t>
        </is>
      </c>
      <c r="G782" t="n">
        <v>1.5</v>
      </c>
      <c r="H782" t="n">
        <v>0</v>
      </c>
      <c r="I782" t="n">
        <v>0</v>
      </c>
      <c r="J782" t="n">
        <v>0</v>
      </c>
      <c r="K782" t="n">
        <v>0</v>
      </c>
      <c r="L782" t="n">
        <v>0</v>
      </c>
      <c r="M782" t="n">
        <v>0</v>
      </c>
      <c r="N782" t="n">
        <v>0</v>
      </c>
      <c r="O782" t="n">
        <v>0</v>
      </c>
      <c r="P782" t="n">
        <v>0</v>
      </c>
      <c r="Q782" t="n">
        <v>0</v>
      </c>
      <c r="R782" s="2" t="inlineStr"/>
    </row>
    <row r="783" ht="15" customHeight="1">
      <c r="A783" t="inlineStr">
        <is>
          <t>A 7727-2023</t>
        </is>
      </c>
      <c r="B783" s="1" t="n">
        <v>44973.29771990741</v>
      </c>
      <c r="C783" s="1" t="n">
        <v>46100</v>
      </c>
      <c r="D783" t="inlineStr">
        <is>
          <t>BLEKINGE LÄN</t>
        </is>
      </c>
      <c r="E783" t="inlineStr">
        <is>
          <t>KARLSKRONA</t>
        </is>
      </c>
      <c r="G783" t="n">
        <v>3</v>
      </c>
      <c r="H783" t="n">
        <v>0</v>
      </c>
      <c r="I783" t="n">
        <v>0</v>
      </c>
      <c r="J783" t="n">
        <v>0</v>
      </c>
      <c r="K783" t="n">
        <v>0</v>
      </c>
      <c r="L783" t="n">
        <v>0</v>
      </c>
      <c r="M783" t="n">
        <v>0</v>
      </c>
      <c r="N783" t="n">
        <v>0</v>
      </c>
      <c r="O783" t="n">
        <v>0</v>
      </c>
      <c r="P783" t="n">
        <v>0</v>
      </c>
      <c r="Q783" t="n">
        <v>0</v>
      </c>
      <c r="R783" s="2" t="inlineStr"/>
    </row>
    <row r="784" ht="15" customHeight="1">
      <c r="A784" t="inlineStr">
        <is>
          <t>A 40074-2022</t>
        </is>
      </c>
      <c r="B784" s="1" t="n">
        <v>44820</v>
      </c>
      <c r="C784" s="1" t="n">
        <v>46100</v>
      </c>
      <c r="D784" t="inlineStr">
        <is>
          <t>BLEKINGE LÄN</t>
        </is>
      </c>
      <c r="E784" t="inlineStr">
        <is>
          <t>KARLSKRONA</t>
        </is>
      </c>
      <c r="G784" t="n">
        <v>4.4</v>
      </c>
      <c r="H784" t="n">
        <v>0</v>
      </c>
      <c r="I784" t="n">
        <v>0</v>
      </c>
      <c r="J784" t="n">
        <v>0</v>
      </c>
      <c r="K784" t="n">
        <v>0</v>
      </c>
      <c r="L784" t="n">
        <v>0</v>
      </c>
      <c r="M784" t="n">
        <v>0</v>
      </c>
      <c r="N784" t="n">
        <v>0</v>
      </c>
      <c r="O784" t="n">
        <v>0</v>
      </c>
      <c r="P784" t="n">
        <v>0</v>
      </c>
      <c r="Q784" t="n">
        <v>0</v>
      </c>
      <c r="R784" s="2" t="inlineStr"/>
    </row>
    <row r="785" ht="15" customHeight="1">
      <c r="A785" t="inlineStr">
        <is>
          <t>A 48015-2025</t>
        </is>
      </c>
      <c r="B785" s="1" t="n">
        <v>45932</v>
      </c>
      <c r="C785" s="1" t="n">
        <v>46100</v>
      </c>
      <c r="D785" t="inlineStr">
        <is>
          <t>BLEKINGE LÄN</t>
        </is>
      </c>
      <c r="E785" t="inlineStr">
        <is>
          <t>KARLSKRONA</t>
        </is>
      </c>
      <c r="G785" t="n">
        <v>1</v>
      </c>
      <c r="H785" t="n">
        <v>0</v>
      </c>
      <c r="I785" t="n">
        <v>0</v>
      </c>
      <c r="J785" t="n">
        <v>0</v>
      </c>
      <c r="K785" t="n">
        <v>0</v>
      </c>
      <c r="L785" t="n">
        <v>0</v>
      </c>
      <c r="M785" t="n">
        <v>0</v>
      </c>
      <c r="N785" t="n">
        <v>0</v>
      </c>
      <c r="O785" t="n">
        <v>0</v>
      </c>
      <c r="P785" t="n">
        <v>0</v>
      </c>
      <c r="Q785" t="n">
        <v>0</v>
      </c>
      <c r="R785" s="2" t="inlineStr"/>
    </row>
    <row r="786" ht="15" customHeight="1">
      <c r="A786" t="inlineStr">
        <is>
          <t>A 48000-2025</t>
        </is>
      </c>
      <c r="B786" s="1" t="n">
        <v>45932</v>
      </c>
      <c r="C786" s="1" t="n">
        <v>46100</v>
      </c>
      <c r="D786" t="inlineStr">
        <is>
          <t>BLEKINGE LÄN</t>
        </is>
      </c>
      <c r="E786" t="inlineStr">
        <is>
          <t>KARLSKRONA</t>
        </is>
      </c>
      <c r="G786" t="n">
        <v>2.4</v>
      </c>
      <c r="H786" t="n">
        <v>0</v>
      </c>
      <c r="I786" t="n">
        <v>0</v>
      </c>
      <c r="J786" t="n">
        <v>0</v>
      </c>
      <c r="K786" t="n">
        <v>0</v>
      </c>
      <c r="L786" t="n">
        <v>0</v>
      </c>
      <c r="M786" t="n">
        <v>0</v>
      </c>
      <c r="N786" t="n">
        <v>0</v>
      </c>
      <c r="O786" t="n">
        <v>0</v>
      </c>
      <c r="P786" t="n">
        <v>0</v>
      </c>
      <c r="Q786" t="n">
        <v>0</v>
      </c>
      <c r="R786" s="2" t="inlineStr"/>
    </row>
    <row r="787" ht="15" customHeight="1">
      <c r="A787" t="inlineStr">
        <is>
          <t>A 56756-2025</t>
        </is>
      </c>
      <c r="B787" s="1" t="n">
        <v>45978.37158564815</v>
      </c>
      <c r="C787" s="1" t="n">
        <v>46100</v>
      </c>
      <c r="D787" t="inlineStr">
        <is>
          <t>BLEKINGE LÄN</t>
        </is>
      </c>
      <c r="E787" t="inlineStr">
        <is>
          <t>KARLSKRONA</t>
        </is>
      </c>
      <c r="G787" t="n">
        <v>3.1</v>
      </c>
      <c r="H787" t="n">
        <v>0</v>
      </c>
      <c r="I787" t="n">
        <v>0</v>
      </c>
      <c r="J787" t="n">
        <v>0</v>
      </c>
      <c r="K787" t="n">
        <v>0</v>
      </c>
      <c r="L787" t="n">
        <v>0</v>
      </c>
      <c r="M787" t="n">
        <v>0</v>
      </c>
      <c r="N787" t="n">
        <v>0</v>
      </c>
      <c r="O787" t="n">
        <v>0</v>
      </c>
      <c r="P787" t="n">
        <v>0</v>
      </c>
      <c r="Q787" t="n">
        <v>0</v>
      </c>
      <c r="R787" s="2" t="inlineStr"/>
    </row>
    <row r="788" ht="15" customHeight="1">
      <c r="A788" t="inlineStr">
        <is>
          <t>A 49086-2025</t>
        </is>
      </c>
      <c r="B788" s="1" t="n">
        <v>45937</v>
      </c>
      <c r="C788" s="1" t="n">
        <v>46100</v>
      </c>
      <c r="D788" t="inlineStr">
        <is>
          <t>BLEKINGE LÄN</t>
        </is>
      </c>
      <c r="E788" t="inlineStr">
        <is>
          <t>KARLSKRONA</t>
        </is>
      </c>
      <c r="G788" t="n">
        <v>12.2</v>
      </c>
      <c r="H788" t="n">
        <v>0</v>
      </c>
      <c r="I788" t="n">
        <v>0</v>
      </c>
      <c r="J788" t="n">
        <v>0</v>
      </c>
      <c r="K788" t="n">
        <v>0</v>
      </c>
      <c r="L788" t="n">
        <v>0</v>
      </c>
      <c r="M788" t="n">
        <v>0</v>
      </c>
      <c r="N788" t="n">
        <v>0</v>
      </c>
      <c r="O788" t="n">
        <v>0</v>
      </c>
      <c r="P788" t="n">
        <v>0</v>
      </c>
      <c r="Q788" t="n">
        <v>0</v>
      </c>
      <c r="R788" s="2" t="inlineStr"/>
    </row>
    <row r="789" ht="15" customHeight="1">
      <c r="A789" t="inlineStr">
        <is>
          <t>A 2169-2025</t>
        </is>
      </c>
      <c r="B789" s="1" t="n">
        <v>45673.28958333333</v>
      </c>
      <c r="C789" s="1" t="n">
        <v>46100</v>
      </c>
      <c r="D789" t="inlineStr">
        <is>
          <t>BLEKINGE LÄN</t>
        </is>
      </c>
      <c r="E789" t="inlineStr">
        <is>
          <t>KARLSKRONA</t>
        </is>
      </c>
      <c r="G789" t="n">
        <v>1.7</v>
      </c>
      <c r="H789" t="n">
        <v>0</v>
      </c>
      <c r="I789" t="n">
        <v>0</v>
      </c>
      <c r="J789" t="n">
        <v>0</v>
      </c>
      <c r="K789" t="n">
        <v>0</v>
      </c>
      <c r="L789" t="n">
        <v>0</v>
      </c>
      <c r="M789" t="n">
        <v>0</v>
      </c>
      <c r="N789" t="n">
        <v>0</v>
      </c>
      <c r="O789" t="n">
        <v>0</v>
      </c>
      <c r="P789" t="n">
        <v>0</v>
      </c>
      <c r="Q789" t="n">
        <v>0</v>
      </c>
      <c r="R789" s="2" t="inlineStr"/>
    </row>
    <row r="790" ht="15" customHeight="1">
      <c r="A790" t="inlineStr">
        <is>
          <t>A 56827-2025</t>
        </is>
      </c>
      <c r="B790" s="1" t="n">
        <v>45978.46636574074</v>
      </c>
      <c r="C790" s="1" t="n">
        <v>46100</v>
      </c>
      <c r="D790" t="inlineStr">
        <is>
          <t>BLEKINGE LÄN</t>
        </is>
      </c>
      <c r="E790" t="inlineStr">
        <is>
          <t>KARLSKRONA</t>
        </is>
      </c>
      <c r="G790" t="n">
        <v>3.5</v>
      </c>
      <c r="H790" t="n">
        <v>0</v>
      </c>
      <c r="I790" t="n">
        <v>0</v>
      </c>
      <c r="J790" t="n">
        <v>0</v>
      </c>
      <c r="K790" t="n">
        <v>0</v>
      </c>
      <c r="L790" t="n">
        <v>0</v>
      </c>
      <c r="M790" t="n">
        <v>0</v>
      </c>
      <c r="N790" t="n">
        <v>0</v>
      </c>
      <c r="O790" t="n">
        <v>0</v>
      </c>
      <c r="P790" t="n">
        <v>0</v>
      </c>
      <c r="Q790" t="n">
        <v>0</v>
      </c>
      <c r="R790" s="2" t="inlineStr"/>
    </row>
    <row r="791" ht="15" customHeight="1">
      <c r="A791" t="inlineStr">
        <is>
          <t>A 49096-2025</t>
        </is>
      </c>
      <c r="B791" s="1" t="n">
        <v>45937</v>
      </c>
      <c r="C791" s="1" t="n">
        <v>46100</v>
      </c>
      <c r="D791" t="inlineStr">
        <is>
          <t>BLEKINGE LÄN</t>
        </is>
      </c>
      <c r="E791" t="inlineStr">
        <is>
          <t>KARLSKRONA</t>
        </is>
      </c>
      <c r="G791" t="n">
        <v>2.9</v>
      </c>
      <c r="H791" t="n">
        <v>0</v>
      </c>
      <c r="I791" t="n">
        <v>0</v>
      </c>
      <c r="J791" t="n">
        <v>0</v>
      </c>
      <c r="K791" t="n">
        <v>0</v>
      </c>
      <c r="L791" t="n">
        <v>0</v>
      </c>
      <c r="M791" t="n">
        <v>0</v>
      </c>
      <c r="N791" t="n">
        <v>0</v>
      </c>
      <c r="O791" t="n">
        <v>0</v>
      </c>
      <c r="P791" t="n">
        <v>0</v>
      </c>
      <c r="Q791" t="n">
        <v>0</v>
      </c>
      <c r="R791" s="2" t="inlineStr"/>
    </row>
    <row r="792" ht="15" customHeight="1">
      <c r="A792" t="inlineStr">
        <is>
          <t>A 2096-2024</t>
        </is>
      </c>
      <c r="B792" s="1" t="n">
        <v>45309.44398148148</v>
      </c>
      <c r="C792" s="1" t="n">
        <v>46100</v>
      </c>
      <c r="D792" t="inlineStr">
        <is>
          <t>BLEKINGE LÄN</t>
        </is>
      </c>
      <c r="E792" t="inlineStr">
        <is>
          <t>KARLSKRONA</t>
        </is>
      </c>
      <c r="G792" t="n">
        <v>3.4</v>
      </c>
      <c r="H792" t="n">
        <v>0</v>
      </c>
      <c r="I792" t="n">
        <v>0</v>
      </c>
      <c r="J792" t="n">
        <v>0</v>
      </c>
      <c r="K792" t="n">
        <v>0</v>
      </c>
      <c r="L792" t="n">
        <v>0</v>
      </c>
      <c r="M792" t="n">
        <v>0</v>
      </c>
      <c r="N792" t="n">
        <v>0</v>
      </c>
      <c r="O792" t="n">
        <v>0</v>
      </c>
      <c r="P792" t="n">
        <v>0</v>
      </c>
      <c r="Q792" t="n">
        <v>0</v>
      </c>
      <c r="R792" s="2" t="inlineStr"/>
    </row>
    <row r="793" ht="15" customHeight="1">
      <c r="A793" t="inlineStr">
        <is>
          <t>A 34952-2023</t>
        </is>
      </c>
      <c r="B793" s="1" t="n">
        <v>45142</v>
      </c>
      <c r="C793" s="1" t="n">
        <v>46100</v>
      </c>
      <c r="D793" t="inlineStr">
        <is>
          <t>BLEKINGE LÄN</t>
        </is>
      </c>
      <c r="E793" t="inlineStr">
        <is>
          <t>KARLSKRONA</t>
        </is>
      </c>
      <c r="G793" t="n">
        <v>0.5</v>
      </c>
      <c r="H793" t="n">
        <v>0</v>
      </c>
      <c r="I793" t="n">
        <v>0</v>
      </c>
      <c r="J793" t="n">
        <v>0</v>
      </c>
      <c r="K793" t="n">
        <v>0</v>
      </c>
      <c r="L793" t="n">
        <v>0</v>
      </c>
      <c r="M793" t="n">
        <v>0</v>
      </c>
      <c r="N793" t="n">
        <v>0</v>
      </c>
      <c r="O793" t="n">
        <v>0</v>
      </c>
      <c r="P793" t="n">
        <v>0</v>
      </c>
      <c r="Q793" t="n">
        <v>0</v>
      </c>
      <c r="R793" s="2" t="inlineStr"/>
    </row>
    <row r="794" ht="15" customHeight="1">
      <c r="A794" t="inlineStr">
        <is>
          <t>A 56926-2025</t>
        </is>
      </c>
      <c r="B794" s="1" t="n">
        <v>45978.6052662037</v>
      </c>
      <c r="C794" s="1" t="n">
        <v>46100</v>
      </c>
      <c r="D794" t="inlineStr">
        <is>
          <t>BLEKINGE LÄN</t>
        </is>
      </c>
      <c r="E794" t="inlineStr">
        <is>
          <t>KARLSKRONA</t>
        </is>
      </c>
      <c r="G794" t="n">
        <v>1</v>
      </c>
      <c r="H794" t="n">
        <v>0</v>
      </c>
      <c r="I794" t="n">
        <v>0</v>
      </c>
      <c r="J794" t="n">
        <v>0</v>
      </c>
      <c r="K794" t="n">
        <v>0</v>
      </c>
      <c r="L794" t="n">
        <v>0</v>
      </c>
      <c r="M794" t="n">
        <v>0</v>
      </c>
      <c r="N794" t="n">
        <v>0</v>
      </c>
      <c r="O794" t="n">
        <v>0</v>
      </c>
      <c r="P794" t="n">
        <v>0</v>
      </c>
      <c r="Q794" t="n">
        <v>0</v>
      </c>
      <c r="R794" s="2" t="inlineStr"/>
    </row>
    <row r="795" ht="15" customHeight="1">
      <c r="A795" t="inlineStr">
        <is>
          <t>A 57129-2025</t>
        </is>
      </c>
      <c r="B795" s="1" t="n">
        <v>45978</v>
      </c>
      <c r="C795" s="1" t="n">
        <v>46100</v>
      </c>
      <c r="D795" t="inlineStr">
        <is>
          <t>BLEKINGE LÄN</t>
        </is>
      </c>
      <c r="E795" t="inlineStr">
        <is>
          <t>KARLSKRONA</t>
        </is>
      </c>
      <c r="G795" t="n">
        <v>1.9</v>
      </c>
      <c r="H795" t="n">
        <v>0</v>
      </c>
      <c r="I795" t="n">
        <v>0</v>
      </c>
      <c r="J795" t="n">
        <v>0</v>
      </c>
      <c r="K795" t="n">
        <v>0</v>
      </c>
      <c r="L795" t="n">
        <v>0</v>
      </c>
      <c r="M795" t="n">
        <v>0</v>
      </c>
      <c r="N795" t="n">
        <v>0</v>
      </c>
      <c r="O795" t="n">
        <v>0</v>
      </c>
      <c r="P795" t="n">
        <v>0</v>
      </c>
      <c r="Q795" t="n">
        <v>0</v>
      </c>
      <c r="R795" s="2" t="inlineStr"/>
    </row>
    <row r="796" ht="15" customHeight="1">
      <c r="A796" t="inlineStr">
        <is>
          <t>A 44628-2022</t>
        </is>
      </c>
      <c r="B796" s="1" t="n">
        <v>44840.58092592593</v>
      </c>
      <c r="C796" s="1" t="n">
        <v>46100</v>
      </c>
      <c r="D796" t="inlineStr">
        <is>
          <t>BLEKINGE LÄN</t>
        </is>
      </c>
      <c r="E796" t="inlineStr">
        <is>
          <t>KARLSKRONA</t>
        </is>
      </c>
      <c r="G796" t="n">
        <v>1.4</v>
      </c>
      <c r="H796" t="n">
        <v>0</v>
      </c>
      <c r="I796" t="n">
        <v>0</v>
      </c>
      <c r="J796" t="n">
        <v>0</v>
      </c>
      <c r="K796" t="n">
        <v>0</v>
      </c>
      <c r="L796" t="n">
        <v>0</v>
      </c>
      <c r="M796" t="n">
        <v>0</v>
      </c>
      <c r="N796" t="n">
        <v>0</v>
      </c>
      <c r="O796" t="n">
        <v>0</v>
      </c>
      <c r="P796" t="n">
        <v>0</v>
      </c>
      <c r="Q796" t="n">
        <v>0</v>
      </c>
      <c r="R796" s="2" t="inlineStr"/>
    </row>
    <row r="797" ht="15" customHeight="1">
      <c r="A797" t="inlineStr">
        <is>
          <t>A 57799-2025</t>
        </is>
      </c>
      <c r="B797" s="1" t="n">
        <v>45981.5834375</v>
      </c>
      <c r="C797" s="1" t="n">
        <v>46100</v>
      </c>
      <c r="D797" t="inlineStr">
        <is>
          <t>BLEKINGE LÄN</t>
        </is>
      </c>
      <c r="E797" t="inlineStr">
        <is>
          <t>KARLSKRONA</t>
        </is>
      </c>
      <c r="G797" t="n">
        <v>1.7</v>
      </c>
      <c r="H797" t="n">
        <v>0</v>
      </c>
      <c r="I797" t="n">
        <v>0</v>
      </c>
      <c r="J797" t="n">
        <v>0</v>
      </c>
      <c r="K797" t="n">
        <v>0</v>
      </c>
      <c r="L797" t="n">
        <v>0</v>
      </c>
      <c r="M797" t="n">
        <v>0</v>
      </c>
      <c r="N797" t="n">
        <v>0</v>
      </c>
      <c r="O797" t="n">
        <v>0</v>
      </c>
      <c r="P797" t="n">
        <v>0</v>
      </c>
      <c r="Q797" t="n">
        <v>0</v>
      </c>
      <c r="R797" s="2" t="inlineStr"/>
    </row>
    <row r="798" ht="15" customHeight="1">
      <c r="A798" t="inlineStr">
        <is>
          <t>A 57525-2025</t>
        </is>
      </c>
      <c r="B798" s="1" t="n">
        <v>45980.62664351852</v>
      </c>
      <c r="C798" s="1" t="n">
        <v>46100</v>
      </c>
      <c r="D798" t="inlineStr">
        <is>
          <t>BLEKINGE LÄN</t>
        </is>
      </c>
      <c r="E798" t="inlineStr">
        <is>
          <t>KARLSKRONA</t>
        </is>
      </c>
      <c r="G798" t="n">
        <v>1.7</v>
      </c>
      <c r="H798" t="n">
        <v>0</v>
      </c>
      <c r="I798" t="n">
        <v>0</v>
      </c>
      <c r="J798" t="n">
        <v>0</v>
      </c>
      <c r="K798" t="n">
        <v>0</v>
      </c>
      <c r="L798" t="n">
        <v>0</v>
      </c>
      <c r="M798" t="n">
        <v>0</v>
      </c>
      <c r="N798" t="n">
        <v>0</v>
      </c>
      <c r="O798" t="n">
        <v>0</v>
      </c>
      <c r="P798" t="n">
        <v>0</v>
      </c>
      <c r="Q798" t="n">
        <v>0</v>
      </c>
      <c r="R798" s="2" t="inlineStr"/>
    </row>
    <row r="799" ht="15" customHeight="1">
      <c r="A799" t="inlineStr">
        <is>
          <t>A 57818-2025</t>
        </is>
      </c>
      <c r="B799" s="1" t="n">
        <v>45981.59913194444</v>
      </c>
      <c r="C799" s="1" t="n">
        <v>46100</v>
      </c>
      <c r="D799" t="inlineStr">
        <is>
          <t>BLEKINGE LÄN</t>
        </is>
      </c>
      <c r="E799" t="inlineStr">
        <is>
          <t>KARLSKRONA</t>
        </is>
      </c>
      <c r="G799" t="n">
        <v>2</v>
      </c>
      <c r="H799" t="n">
        <v>0</v>
      </c>
      <c r="I799" t="n">
        <v>0</v>
      </c>
      <c r="J799" t="n">
        <v>0</v>
      </c>
      <c r="K799" t="n">
        <v>0</v>
      </c>
      <c r="L799" t="n">
        <v>0</v>
      </c>
      <c r="M799" t="n">
        <v>0</v>
      </c>
      <c r="N799" t="n">
        <v>0</v>
      </c>
      <c r="O799" t="n">
        <v>0</v>
      </c>
      <c r="P799" t="n">
        <v>0</v>
      </c>
      <c r="Q799" t="n">
        <v>0</v>
      </c>
      <c r="R799" s="2" t="inlineStr"/>
    </row>
    <row r="800" ht="15" customHeight="1">
      <c r="A800" t="inlineStr">
        <is>
          <t>A 16060-2025</t>
        </is>
      </c>
      <c r="B800" s="1" t="n">
        <v>45749</v>
      </c>
      <c r="C800" s="1" t="n">
        <v>46100</v>
      </c>
      <c r="D800" t="inlineStr">
        <is>
          <t>BLEKINGE LÄN</t>
        </is>
      </c>
      <c r="E800" t="inlineStr">
        <is>
          <t>KARLSKRONA</t>
        </is>
      </c>
      <c r="G800" t="n">
        <v>2.3</v>
      </c>
      <c r="H800" t="n">
        <v>0</v>
      </c>
      <c r="I800" t="n">
        <v>0</v>
      </c>
      <c r="J800" t="n">
        <v>0</v>
      </c>
      <c r="K800" t="n">
        <v>0</v>
      </c>
      <c r="L800" t="n">
        <v>0</v>
      </c>
      <c r="M800" t="n">
        <v>0</v>
      </c>
      <c r="N800" t="n">
        <v>0</v>
      </c>
      <c r="O800" t="n">
        <v>0</v>
      </c>
      <c r="P800" t="n">
        <v>0</v>
      </c>
      <c r="Q800" t="n">
        <v>0</v>
      </c>
      <c r="R800" s="2" t="inlineStr"/>
    </row>
    <row r="801" ht="15" customHeight="1">
      <c r="A801" t="inlineStr">
        <is>
          <t>A 45483-2024</t>
        </is>
      </c>
      <c r="B801" s="1" t="n">
        <v>45577.29355324074</v>
      </c>
      <c r="C801" s="1" t="n">
        <v>46100</v>
      </c>
      <c r="D801" t="inlineStr">
        <is>
          <t>BLEKINGE LÄN</t>
        </is>
      </c>
      <c r="E801" t="inlineStr">
        <is>
          <t>KARLSKRONA</t>
        </is>
      </c>
      <c r="G801" t="n">
        <v>8.4</v>
      </c>
      <c r="H801" t="n">
        <v>0</v>
      </c>
      <c r="I801" t="n">
        <v>0</v>
      </c>
      <c r="J801" t="n">
        <v>0</v>
      </c>
      <c r="K801" t="n">
        <v>0</v>
      </c>
      <c r="L801" t="n">
        <v>0</v>
      </c>
      <c r="M801" t="n">
        <v>0</v>
      </c>
      <c r="N801" t="n">
        <v>0</v>
      </c>
      <c r="O801" t="n">
        <v>0</v>
      </c>
      <c r="P801" t="n">
        <v>0</v>
      </c>
      <c r="Q801" t="n">
        <v>0</v>
      </c>
      <c r="R801" s="2" t="inlineStr"/>
    </row>
    <row r="802" ht="15" customHeight="1">
      <c r="A802" t="inlineStr">
        <is>
          <t>A 36765-2025</t>
        </is>
      </c>
      <c r="B802" s="1" t="n">
        <v>45873.57835648148</v>
      </c>
      <c r="C802" s="1" t="n">
        <v>46100</v>
      </c>
      <c r="D802" t="inlineStr">
        <is>
          <t>BLEKINGE LÄN</t>
        </is>
      </c>
      <c r="E802" t="inlineStr">
        <is>
          <t>KARLSKRONA</t>
        </is>
      </c>
      <c r="G802" t="n">
        <v>1.1</v>
      </c>
      <c r="H802" t="n">
        <v>0</v>
      </c>
      <c r="I802" t="n">
        <v>0</v>
      </c>
      <c r="J802" t="n">
        <v>0</v>
      </c>
      <c r="K802" t="n">
        <v>0</v>
      </c>
      <c r="L802" t="n">
        <v>0</v>
      </c>
      <c r="M802" t="n">
        <v>0</v>
      </c>
      <c r="N802" t="n">
        <v>0</v>
      </c>
      <c r="O802" t="n">
        <v>0</v>
      </c>
      <c r="P802" t="n">
        <v>0</v>
      </c>
      <c r="Q802" t="n">
        <v>0</v>
      </c>
      <c r="R802" s="2" t="inlineStr"/>
    </row>
    <row r="803" ht="15" customHeight="1">
      <c r="A803" t="inlineStr">
        <is>
          <t>A 27024-2023</t>
        </is>
      </c>
      <c r="B803" s="1" t="n">
        <v>45094</v>
      </c>
      <c r="C803" s="1" t="n">
        <v>46100</v>
      </c>
      <c r="D803" t="inlineStr">
        <is>
          <t>BLEKINGE LÄN</t>
        </is>
      </c>
      <c r="E803" t="inlineStr">
        <is>
          <t>KARLSKRONA</t>
        </is>
      </c>
      <c r="G803" t="n">
        <v>1.3</v>
      </c>
      <c r="H803" t="n">
        <v>0</v>
      </c>
      <c r="I803" t="n">
        <v>0</v>
      </c>
      <c r="J803" t="n">
        <v>0</v>
      </c>
      <c r="K803" t="n">
        <v>0</v>
      </c>
      <c r="L803" t="n">
        <v>0</v>
      </c>
      <c r="M803" t="n">
        <v>0</v>
      </c>
      <c r="N803" t="n">
        <v>0</v>
      </c>
      <c r="O803" t="n">
        <v>0</v>
      </c>
      <c r="P803" t="n">
        <v>0</v>
      </c>
      <c r="Q803" t="n">
        <v>0</v>
      </c>
      <c r="R803" s="2" t="inlineStr"/>
    </row>
    <row r="804" ht="15" customHeight="1">
      <c r="A804" t="inlineStr">
        <is>
          <t>A 48739-2023</t>
        </is>
      </c>
      <c r="B804" s="1" t="n">
        <v>45208.83212962963</v>
      </c>
      <c r="C804" s="1" t="n">
        <v>46100</v>
      </c>
      <c r="D804" t="inlineStr">
        <is>
          <t>BLEKINGE LÄN</t>
        </is>
      </c>
      <c r="E804" t="inlineStr">
        <is>
          <t>KARLSKRONA</t>
        </is>
      </c>
      <c r="G804" t="n">
        <v>3.2</v>
      </c>
      <c r="H804" t="n">
        <v>0</v>
      </c>
      <c r="I804" t="n">
        <v>0</v>
      </c>
      <c r="J804" t="n">
        <v>0</v>
      </c>
      <c r="K804" t="n">
        <v>0</v>
      </c>
      <c r="L804" t="n">
        <v>0</v>
      </c>
      <c r="M804" t="n">
        <v>0</v>
      </c>
      <c r="N804" t="n">
        <v>0</v>
      </c>
      <c r="O804" t="n">
        <v>0</v>
      </c>
      <c r="P804" t="n">
        <v>0</v>
      </c>
      <c r="Q804" t="n">
        <v>0</v>
      </c>
      <c r="R804" s="2" t="inlineStr"/>
    </row>
    <row r="805" ht="15" customHeight="1">
      <c r="A805" t="inlineStr">
        <is>
          <t>A 14177-2024</t>
        </is>
      </c>
      <c r="B805" s="1" t="n">
        <v>45393.30375</v>
      </c>
      <c r="C805" s="1" t="n">
        <v>46100</v>
      </c>
      <c r="D805" t="inlineStr">
        <is>
          <t>BLEKINGE LÄN</t>
        </is>
      </c>
      <c r="E805" t="inlineStr">
        <is>
          <t>KARLSKRONA</t>
        </is>
      </c>
      <c r="G805" t="n">
        <v>2.1</v>
      </c>
      <c r="H805" t="n">
        <v>0</v>
      </c>
      <c r="I805" t="n">
        <v>0</v>
      </c>
      <c r="J805" t="n">
        <v>0</v>
      </c>
      <c r="K805" t="n">
        <v>0</v>
      </c>
      <c r="L805" t="n">
        <v>0</v>
      </c>
      <c r="M805" t="n">
        <v>0</v>
      </c>
      <c r="N805" t="n">
        <v>0</v>
      </c>
      <c r="O805" t="n">
        <v>0</v>
      </c>
      <c r="P805" t="n">
        <v>0</v>
      </c>
      <c r="Q805" t="n">
        <v>0</v>
      </c>
      <c r="R805" s="2" t="inlineStr"/>
    </row>
    <row r="806" ht="15" customHeight="1">
      <c r="A806" t="inlineStr">
        <is>
          <t>A 57710-2025</t>
        </is>
      </c>
      <c r="B806" s="1" t="n">
        <v>45981.47199074074</v>
      </c>
      <c r="C806" s="1" t="n">
        <v>46100</v>
      </c>
      <c r="D806" t="inlineStr">
        <is>
          <t>BLEKINGE LÄN</t>
        </is>
      </c>
      <c r="E806" t="inlineStr">
        <is>
          <t>KARLSKRONA</t>
        </is>
      </c>
      <c r="G806" t="n">
        <v>2.5</v>
      </c>
      <c r="H806" t="n">
        <v>0</v>
      </c>
      <c r="I806" t="n">
        <v>0</v>
      </c>
      <c r="J806" t="n">
        <v>0</v>
      </c>
      <c r="K806" t="n">
        <v>0</v>
      </c>
      <c r="L806" t="n">
        <v>0</v>
      </c>
      <c r="M806" t="n">
        <v>0</v>
      </c>
      <c r="N806" t="n">
        <v>0</v>
      </c>
      <c r="O806" t="n">
        <v>0</v>
      </c>
      <c r="P806" t="n">
        <v>0</v>
      </c>
      <c r="Q806" t="n">
        <v>0</v>
      </c>
      <c r="R806" s="2" t="inlineStr"/>
    </row>
    <row r="807" ht="15" customHeight="1">
      <c r="A807" t="inlineStr">
        <is>
          <t>A 38185-2023</t>
        </is>
      </c>
      <c r="B807" s="1" t="n">
        <v>45161.47722222222</v>
      </c>
      <c r="C807" s="1" t="n">
        <v>46100</v>
      </c>
      <c r="D807" t="inlineStr">
        <is>
          <t>BLEKINGE LÄN</t>
        </is>
      </c>
      <c r="E807" t="inlineStr">
        <is>
          <t>KARLSKRONA</t>
        </is>
      </c>
      <c r="G807" t="n">
        <v>1.7</v>
      </c>
      <c r="H807" t="n">
        <v>0</v>
      </c>
      <c r="I807" t="n">
        <v>0</v>
      </c>
      <c r="J807" t="n">
        <v>0</v>
      </c>
      <c r="K807" t="n">
        <v>0</v>
      </c>
      <c r="L807" t="n">
        <v>0</v>
      </c>
      <c r="M807" t="n">
        <v>0</v>
      </c>
      <c r="N807" t="n">
        <v>0</v>
      </c>
      <c r="O807" t="n">
        <v>0</v>
      </c>
      <c r="P807" t="n">
        <v>0</v>
      </c>
      <c r="Q807" t="n">
        <v>0</v>
      </c>
      <c r="R807" s="2" t="inlineStr"/>
    </row>
    <row r="808" ht="15" customHeight="1">
      <c r="A808" t="inlineStr">
        <is>
          <t>A 57506-2025</t>
        </is>
      </c>
      <c r="B808" s="1" t="n">
        <v>45980.59621527778</v>
      </c>
      <c r="C808" s="1" t="n">
        <v>46100</v>
      </c>
      <c r="D808" t="inlineStr">
        <is>
          <t>BLEKINGE LÄN</t>
        </is>
      </c>
      <c r="E808" t="inlineStr">
        <is>
          <t>KARLSKRONA</t>
        </is>
      </c>
      <c r="G808" t="n">
        <v>1.4</v>
      </c>
      <c r="H808" t="n">
        <v>0</v>
      </c>
      <c r="I808" t="n">
        <v>0</v>
      </c>
      <c r="J808" t="n">
        <v>0</v>
      </c>
      <c r="K808" t="n">
        <v>0</v>
      </c>
      <c r="L808" t="n">
        <v>0</v>
      </c>
      <c r="M808" t="n">
        <v>0</v>
      </c>
      <c r="N808" t="n">
        <v>0</v>
      </c>
      <c r="O808" t="n">
        <v>0</v>
      </c>
      <c r="P808" t="n">
        <v>0</v>
      </c>
      <c r="Q808" t="n">
        <v>0</v>
      </c>
      <c r="R808" s="2" t="inlineStr"/>
    </row>
    <row r="809" ht="15" customHeight="1">
      <c r="A809" t="inlineStr">
        <is>
          <t>A 57523-2025</t>
        </is>
      </c>
      <c r="B809" s="1" t="n">
        <v>45980.62510416667</v>
      </c>
      <c r="C809" s="1" t="n">
        <v>46100</v>
      </c>
      <c r="D809" t="inlineStr">
        <is>
          <t>BLEKINGE LÄN</t>
        </is>
      </c>
      <c r="E809" t="inlineStr">
        <is>
          <t>KARLSKRONA</t>
        </is>
      </c>
      <c r="G809" t="n">
        <v>2.2</v>
      </c>
      <c r="H809" t="n">
        <v>0</v>
      </c>
      <c r="I809" t="n">
        <v>0</v>
      </c>
      <c r="J809" t="n">
        <v>0</v>
      </c>
      <c r="K809" t="n">
        <v>0</v>
      </c>
      <c r="L809" t="n">
        <v>0</v>
      </c>
      <c r="M809" t="n">
        <v>0</v>
      </c>
      <c r="N809" t="n">
        <v>0</v>
      </c>
      <c r="O809" t="n">
        <v>0</v>
      </c>
      <c r="P809" t="n">
        <v>0</v>
      </c>
      <c r="Q809" t="n">
        <v>0</v>
      </c>
      <c r="R809" s="2" t="inlineStr"/>
    </row>
    <row r="810" ht="15" customHeight="1">
      <c r="A810" t="inlineStr">
        <is>
          <t>A 35643-2024</t>
        </is>
      </c>
      <c r="B810" s="1" t="n">
        <v>45531.94460648148</v>
      </c>
      <c r="C810" s="1" t="n">
        <v>46100</v>
      </c>
      <c r="D810" t="inlineStr">
        <is>
          <t>BLEKINGE LÄN</t>
        </is>
      </c>
      <c r="E810" t="inlineStr">
        <is>
          <t>KARLSKRONA</t>
        </is>
      </c>
      <c r="G810" t="n">
        <v>2</v>
      </c>
      <c r="H810" t="n">
        <v>0</v>
      </c>
      <c r="I810" t="n">
        <v>0</v>
      </c>
      <c r="J810" t="n">
        <v>0</v>
      </c>
      <c r="K810" t="n">
        <v>0</v>
      </c>
      <c r="L810" t="n">
        <v>0</v>
      </c>
      <c r="M810" t="n">
        <v>0</v>
      </c>
      <c r="N810" t="n">
        <v>0</v>
      </c>
      <c r="O810" t="n">
        <v>0</v>
      </c>
      <c r="P810" t="n">
        <v>0</v>
      </c>
      <c r="Q810" t="n">
        <v>0</v>
      </c>
      <c r="R810" s="2" t="inlineStr"/>
    </row>
    <row r="811" ht="15" customHeight="1">
      <c r="A811" t="inlineStr">
        <is>
          <t>A 37163-2025</t>
        </is>
      </c>
      <c r="B811" s="1" t="n">
        <v>45875.60252314815</v>
      </c>
      <c r="C811" s="1" t="n">
        <v>46100</v>
      </c>
      <c r="D811" t="inlineStr">
        <is>
          <t>BLEKINGE LÄN</t>
        </is>
      </c>
      <c r="E811" t="inlineStr">
        <is>
          <t>KARLSKRONA</t>
        </is>
      </c>
      <c r="G811" t="n">
        <v>1.3</v>
      </c>
      <c r="H811" t="n">
        <v>0</v>
      </c>
      <c r="I811" t="n">
        <v>0</v>
      </c>
      <c r="J811" t="n">
        <v>0</v>
      </c>
      <c r="K811" t="n">
        <v>0</v>
      </c>
      <c r="L811" t="n">
        <v>0</v>
      </c>
      <c r="M811" t="n">
        <v>0</v>
      </c>
      <c r="N811" t="n">
        <v>0</v>
      </c>
      <c r="O811" t="n">
        <v>0</v>
      </c>
      <c r="P811" t="n">
        <v>0</v>
      </c>
      <c r="Q811" t="n">
        <v>0</v>
      </c>
      <c r="R811" s="2" t="inlineStr"/>
    </row>
    <row r="812" ht="15" customHeight="1">
      <c r="A812" t="inlineStr">
        <is>
          <t>A 58022-2025</t>
        </is>
      </c>
      <c r="B812" s="1" t="n">
        <v>45982.47952546296</v>
      </c>
      <c r="C812" s="1" t="n">
        <v>46100</v>
      </c>
      <c r="D812" t="inlineStr">
        <is>
          <t>BLEKINGE LÄN</t>
        </is>
      </c>
      <c r="E812" t="inlineStr">
        <is>
          <t>KARLSKRONA</t>
        </is>
      </c>
      <c r="G812" t="n">
        <v>3.3</v>
      </c>
      <c r="H812" t="n">
        <v>0</v>
      </c>
      <c r="I812" t="n">
        <v>0</v>
      </c>
      <c r="J812" t="n">
        <v>0</v>
      </c>
      <c r="K812" t="n">
        <v>0</v>
      </c>
      <c r="L812" t="n">
        <v>0</v>
      </c>
      <c r="M812" t="n">
        <v>0</v>
      </c>
      <c r="N812" t="n">
        <v>0</v>
      </c>
      <c r="O812" t="n">
        <v>0</v>
      </c>
      <c r="P812" t="n">
        <v>0</v>
      </c>
      <c r="Q812" t="n">
        <v>0</v>
      </c>
      <c r="R812" s="2" t="inlineStr"/>
    </row>
    <row r="813" ht="15" customHeight="1">
      <c r="A813" t="inlineStr">
        <is>
          <t>A 37196-2025</t>
        </is>
      </c>
      <c r="B813" s="1" t="n">
        <v>45875.66709490741</v>
      </c>
      <c r="C813" s="1" t="n">
        <v>46100</v>
      </c>
      <c r="D813" t="inlineStr">
        <is>
          <t>BLEKINGE LÄN</t>
        </is>
      </c>
      <c r="E813" t="inlineStr">
        <is>
          <t>KARLSKRONA</t>
        </is>
      </c>
      <c r="G813" t="n">
        <v>2.2</v>
      </c>
      <c r="H813" t="n">
        <v>0</v>
      </c>
      <c r="I813" t="n">
        <v>0</v>
      </c>
      <c r="J813" t="n">
        <v>0</v>
      </c>
      <c r="K813" t="n">
        <v>0</v>
      </c>
      <c r="L813" t="n">
        <v>0</v>
      </c>
      <c r="M813" t="n">
        <v>0</v>
      </c>
      <c r="N813" t="n">
        <v>0</v>
      </c>
      <c r="O813" t="n">
        <v>0</v>
      </c>
      <c r="P813" t="n">
        <v>0</v>
      </c>
      <c r="Q813" t="n">
        <v>0</v>
      </c>
      <c r="R813" s="2" t="inlineStr"/>
    </row>
    <row r="814" ht="15" customHeight="1">
      <c r="A814" t="inlineStr">
        <is>
          <t>A 58407-2025</t>
        </is>
      </c>
      <c r="B814" s="1" t="n">
        <v>45985.56918981481</v>
      </c>
      <c r="C814" s="1" t="n">
        <v>46100</v>
      </c>
      <c r="D814" t="inlineStr">
        <is>
          <t>BLEKINGE LÄN</t>
        </is>
      </c>
      <c r="E814" t="inlineStr">
        <is>
          <t>KARLSKRONA</t>
        </is>
      </c>
      <c r="G814" t="n">
        <v>1.7</v>
      </c>
      <c r="H814" t="n">
        <v>0</v>
      </c>
      <c r="I814" t="n">
        <v>0</v>
      </c>
      <c r="J814" t="n">
        <v>0</v>
      </c>
      <c r="K814" t="n">
        <v>0</v>
      </c>
      <c r="L814" t="n">
        <v>0</v>
      </c>
      <c r="M814" t="n">
        <v>0</v>
      </c>
      <c r="N814" t="n">
        <v>0</v>
      </c>
      <c r="O814" t="n">
        <v>0</v>
      </c>
      <c r="P814" t="n">
        <v>0</v>
      </c>
      <c r="Q814" t="n">
        <v>0</v>
      </c>
      <c r="R814" s="2" t="inlineStr"/>
    </row>
    <row r="815" ht="15" customHeight="1">
      <c r="A815" t="inlineStr">
        <is>
          <t>A 37179-2025</t>
        </is>
      </c>
      <c r="B815" s="1" t="n">
        <v>45875.61711805555</v>
      </c>
      <c r="C815" s="1" t="n">
        <v>46100</v>
      </c>
      <c r="D815" t="inlineStr">
        <is>
          <t>BLEKINGE LÄN</t>
        </is>
      </c>
      <c r="E815" t="inlineStr">
        <is>
          <t>KARLSKRONA</t>
        </is>
      </c>
      <c r="G815" t="n">
        <v>3.9</v>
      </c>
      <c r="H815" t="n">
        <v>0</v>
      </c>
      <c r="I815" t="n">
        <v>0</v>
      </c>
      <c r="J815" t="n">
        <v>0</v>
      </c>
      <c r="K815" t="n">
        <v>0</v>
      </c>
      <c r="L815" t="n">
        <v>0</v>
      </c>
      <c r="M815" t="n">
        <v>0</v>
      </c>
      <c r="N815" t="n">
        <v>0</v>
      </c>
      <c r="O815" t="n">
        <v>0</v>
      </c>
      <c r="P815" t="n">
        <v>0</v>
      </c>
      <c r="Q815" t="n">
        <v>0</v>
      </c>
      <c r="R815" s="2" t="inlineStr"/>
    </row>
    <row r="816" ht="15" customHeight="1">
      <c r="A816" t="inlineStr">
        <is>
          <t>A 58402-2025</t>
        </is>
      </c>
      <c r="B816" s="1" t="n">
        <v>45985.56715277778</v>
      </c>
      <c r="C816" s="1" t="n">
        <v>46100</v>
      </c>
      <c r="D816" t="inlineStr">
        <is>
          <t>BLEKINGE LÄN</t>
        </is>
      </c>
      <c r="E816" t="inlineStr">
        <is>
          <t>KARLSKRONA</t>
        </is>
      </c>
      <c r="G816" t="n">
        <v>2.2</v>
      </c>
      <c r="H816" t="n">
        <v>0</v>
      </c>
      <c r="I816" t="n">
        <v>0</v>
      </c>
      <c r="J816" t="n">
        <v>0</v>
      </c>
      <c r="K816" t="n">
        <v>0</v>
      </c>
      <c r="L816" t="n">
        <v>0</v>
      </c>
      <c r="M816" t="n">
        <v>0</v>
      </c>
      <c r="N816" t="n">
        <v>0</v>
      </c>
      <c r="O816" t="n">
        <v>0</v>
      </c>
      <c r="P816" t="n">
        <v>0</v>
      </c>
      <c r="Q816" t="n">
        <v>0</v>
      </c>
      <c r="R816" s="2" t="inlineStr"/>
    </row>
    <row r="817" ht="15" customHeight="1">
      <c r="A817" t="inlineStr">
        <is>
          <t>A 58016-2025</t>
        </is>
      </c>
      <c r="B817" s="1" t="n">
        <v>45982.4753125</v>
      </c>
      <c r="C817" s="1" t="n">
        <v>46100</v>
      </c>
      <c r="D817" t="inlineStr">
        <is>
          <t>BLEKINGE LÄN</t>
        </is>
      </c>
      <c r="E817" t="inlineStr">
        <is>
          <t>KARLSKRONA</t>
        </is>
      </c>
      <c r="G817" t="n">
        <v>1</v>
      </c>
      <c r="H817" t="n">
        <v>0</v>
      </c>
      <c r="I817" t="n">
        <v>0</v>
      </c>
      <c r="J817" t="n">
        <v>0</v>
      </c>
      <c r="K817" t="n">
        <v>0</v>
      </c>
      <c r="L817" t="n">
        <v>0</v>
      </c>
      <c r="M817" t="n">
        <v>0</v>
      </c>
      <c r="N817" t="n">
        <v>0</v>
      </c>
      <c r="O817" t="n">
        <v>0</v>
      </c>
      <c r="P817" t="n">
        <v>0</v>
      </c>
      <c r="Q817" t="n">
        <v>0</v>
      </c>
      <c r="R817" s="2" t="inlineStr"/>
    </row>
    <row r="818" ht="15" customHeight="1">
      <c r="A818" t="inlineStr">
        <is>
          <t>A 37168-2025</t>
        </is>
      </c>
      <c r="B818" s="1" t="n">
        <v>45875.60789351852</v>
      </c>
      <c r="C818" s="1" t="n">
        <v>46100</v>
      </c>
      <c r="D818" t="inlineStr">
        <is>
          <t>BLEKINGE LÄN</t>
        </is>
      </c>
      <c r="E818" t="inlineStr">
        <is>
          <t>KARLSKRONA</t>
        </is>
      </c>
      <c r="G818" t="n">
        <v>2.8</v>
      </c>
      <c r="H818" t="n">
        <v>0</v>
      </c>
      <c r="I818" t="n">
        <v>0</v>
      </c>
      <c r="J818" t="n">
        <v>0</v>
      </c>
      <c r="K818" t="n">
        <v>0</v>
      </c>
      <c r="L818" t="n">
        <v>0</v>
      </c>
      <c r="M818" t="n">
        <v>0</v>
      </c>
      <c r="N818" t="n">
        <v>0</v>
      </c>
      <c r="O818" t="n">
        <v>0</v>
      </c>
      <c r="P818" t="n">
        <v>0</v>
      </c>
      <c r="Q818" t="n">
        <v>0</v>
      </c>
      <c r="R818" s="2" t="inlineStr"/>
    </row>
    <row r="819" ht="15" customHeight="1">
      <c r="A819" t="inlineStr">
        <is>
          <t>A 34533-2023</t>
        </is>
      </c>
      <c r="B819" s="1" t="n">
        <v>45140</v>
      </c>
      <c r="C819" s="1" t="n">
        <v>46100</v>
      </c>
      <c r="D819" t="inlineStr">
        <is>
          <t>BLEKINGE LÄN</t>
        </is>
      </c>
      <c r="E819" t="inlineStr">
        <is>
          <t>KARLSKRONA</t>
        </is>
      </c>
      <c r="G819" t="n">
        <v>2.3</v>
      </c>
      <c r="H819" t="n">
        <v>0</v>
      </c>
      <c r="I819" t="n">
        <v>0</v>
      </c>
      <c r="J819" t="n">
        <v>0</v>
      </c>
      <c r="K819" t="n">
        <v>0</v>
      </c>
      <c r="L819" t="n">
        <v>0</v>
      </c>
      <c r="M819" t="n">
        <v>0</v>
      </c>
      <c r="N819" t="n">
        <v>0</v>
      </c>
      <c r="O819" t="n">
        <v>0</v>
      </c>
      <c r="P819" t="n">
        <v>0</v>
      </c>
      <c r="Q819" t="n">
        <v>0</v>
      </c>
      <c r="R819" s="2" t="inlineStr"/>
    </row>
    <row r="820" ht="15" customHeight="1">
      <c r="A820" t="inlineStr">
        <is>
          <t>A 7119-2024</t>
        </is>
      </c>
      <c r="B820" s="1" t="n">
        <v>45344.29208333333</v>
      </c>
      <c r="C820" s="1" t="n">
        <v>46100</v>
      </c>
      <c r="D820" t="inlineStr">
        <is>
          <t>BLEKINGE LÄN</t>
        </is>
      </c>
      <c r="E820" t="inlineStr">
        <is>
          <t>KARLSKRONA</t>
        </is>
      </c>
      <c r="G820" t="n">
        <v>0.9</v>
      </c>
      <c r="H820" t="n">
        <v>0</v>
      </c>
      <c r="I820" t="n">
        <v>0</v>
      </c>
      <c r="J820" t="n">
        <v>0</v>
      </c>
      <c r="K820" t="n">
        <v>0</v>
      </c>
      <c r="L820" t="n">
        <v>0</v>
      </c>
      <c r="M820" t="n">
        <v>0</v>
      </c>
      <c r="N820" t="n">
        <v>0</v>
      </c>
      <c r="O820" t="n">
        <v>0</v>
      </c>
      <c r="P820" t="n">
        <v>0</v>
      </c>
      <c r="Q820" t="n">
        <v>0</v>
      </c>
      <c r="R820" s="2" t="inlineStr"/>
    </row>
    <row r="821" ht="15" customHeight="1">
      <c r="A821" t="inlineStr">
        <is>
          <t>A 37644-2025</t>
        </is>
      </c>
      <c r="B821" s="1" t="n">
        <v>45880</v>
      </c>
      <c r="C821" s="1" t="n">
        <v>46100</v>
      </c>
      <c r="D821" t="inlineStr">
        <is>
          <t>BLEKINGE LÄN</t>
        </is>
      </c>
      <c r="E821" t="inlineStr">
        <is>
          <t>KARLSKRONA</t>
        </is>
      </c>
      <c r="G821" t="n">
        <v>2.9</v>
      </c>
      <c r="H821" t="n">
        <v>0</v>
      </c>
      <c r="I821" t="n">
        <v>0</v>
      </c>
      <c r="J821" t="n">
        <v>0</v>
      </c>
      <c r="K821" t="n">
        <v>0</v>
      </c>
      <c r="L821" t="n">
        <v>0</v>
      </c>
      <c r="M821" t="n">
        <v>0</v>
      </c>
      <c r="N821" t="n">
        <v>0</v>
      </c>
      <c r="O821" t="n">
        <v>0</v>
      </c>
      <c r="P821" t="n">
        <v>0</v>
      </c>
      <c r="Q821" t="n">
        <v>0</v>
      </c>
      <c r="R821" s="2" t="inlineStr"/>
    </row>
    <row r="822" ht="15" customHeight="1">
      <c r="A822" t="inlineStr">
        <is>
          <t>A 50587-2025</t>
        </is>
      </c>
      <c r="B822" s="1" t="n">
        <v>45945.59504629629</v>
      </c>
      <c r="C822" s="1" t="n">
        <v>46100</v>
      </c>
      <c r="D822" t="inlineStr">
        <is>
          <t>BLEKINGE LÄN</t>
        </is>
      </c>
      <c r="E822" t="inlineStr">
        <is>
          <t>KARLSKRONA</t>
        </is>
      </c>
      <c r="G822" t="n">
        <v>3.9</v>
      </c>
      <c r="H822" t="n">
        <v>0</v>
      </c>
      <c r="I822" t="n">
        <v>0</v>
      </c>
      <c r="J822" t="n">
        <v>0</v>
      </c>
      <c r="K822" t="n">
        <v>0</v>
      </c>
      <c r="L822" t="n">
        <v>0</v>
      </c>
      <c r="M822" t="n">
        <v>0</v>
      </c>
      <c r="N822" t="n">
        <v>0</v>
      </c>
      <c r="O822" t="n">
        <v>0</v>
      </c>
      <c r="P822" t="n">
        <v>0</v>
      </c>
      <c r="Q822" t="n">
        <v>0</v>
      </c>
      <c r="R822" s="2" t="inlineStr"/>
    </row>
    <row r="823" ht="15" customHeight="1">
      <c r="A823" t="inlineStr">
        <is>
          <t>A 50603-2025</t>
        </is>
      </c>
      <c r="B823" s="1" t="n">
        <v>45945.61509259259</v>
      </c>
      <c r="C823" s="1" t="n">
        <v>46100</v>
      </c>
      <c r="D823" t="inlineStr">
        <is>
          <t>BLEKINGE LÄN</t>
        </is>
      </c>
      <c r="E823" t="inlineStr">
        <is>
          <t>KARLSKRONA</t>
        </is>
      </c>
      <c r="G823" t="n">
        <v>2.9</v>
      </c>
      <c r="H823" t="n">
        <v>0</v>
      </c>
      <c r="I823" t="n">
        <v>0</v>
      </c>
      <c r="J823" t="n">
        <v>0</v>
      </c>
      <c r="K823" t="n">
        <v>0</v>
      </c>
      <c r="L823" t="n">
        <v>0</v>
      </c>
      <c r="M823" t="n">
        <v>0</v>
      </c>
      <c r="N823" t="n">
        <v>0</v>
      </c>
      <c r="O823" t="n">
        <v>0</v>
      </c>
      <c r="P823" t="n">
        <v>0</v>
      </c>
      <c r="Q823" t="n">
        <v>0</v>
      </c>
      <c r="R823" s="2" t="inlineStr"/>
    </row>
    <row r="824" ht="15" customHeight="1">
      <c r="A824" t="inlineStr">
        <is>
          <t>A 34133-2024</t>
        </is>
      </c>
      <c r="B824" s="1" t="n">
        <v>45524.35208333333</v>
      </c>
      <c r="C824" s="1" t="n">
        <v>46100</v>
      </c>
      <c r="D824" t="inlineStr">
        <is>
          <t>BLEKINGE LÄN</t>
        </is>
      </c>
      <c r="E824" t="inlineStr">
        <is>
          <t>KARLSKRONA</t>
        </is>
      </c>
      <c r="G824" t="n">
        <v>1.4</v>
      </c>
      <c r="H824" t="n">
        <v>0</v>
      </c>
      <c r="I824" t="n">
        <v>0</v>
      </c>
      <c r="J824" t="n">
        <v>0</v>
      </c>
      <c r="K824" t="n">
        <v>0</v>
      </c>
      <c r="L824" t="n">
        <v>0</v>
      </c>
      <c r="M824" t="n">
        <v>0</v>
      </c>
      <c r="N824" t="n">
        <v>0</v>
      </c>
      <c r="O824" t="n">
        <v>0</v>
      </c>
      <c r="P824" t="n">
        <v>0</v>
      </c>
      <c r="Q824" t="n">
        <v>0</v>
      </c>
      <c r="R824" s="2" t="inlineStr"/>
    </row>
    <row r="825" ht="15" customHeight="1">
      <c r="A825" t="inlineStr">
        <is>
          <t>A 37777-2025</t>
        </is>
      </c>
      <c r="B825" s="1" t="n">
        <v>45880</v>
      </c>
      <c r="C825" s="1" t="n">
        <v>46100</v>
      </c>
      <c r="D825" t="inlineStr">
        <is>
          <t>BLEKINGE LÄN</t>
        </is>
      </c>
      <c r="E825" t="inlineStr">
        <is>
          <t>KARLSKRONA</t>
        </is>
      </c>
      <c r="G825" t="n">
        <v>6.3</v>
      </c>
      <c r="H825" t="n">
        <v>0</v>
      </c>
      <c r="I825" t="n">
        <v>0</v>
      </c>
      <c r="J825" t="n">
        <v>0</v>
      </c>
      <c r="K825" t="n">
        <v>0</v>
      </c>
      <c r="L825" t="n">
        <v>0</v>
      </c>
      <c r="M825" t="n">
        <v>0</v>
      </c>
      <c r="N825" t="n">
        <v>0</v>
      </c>
      <c r="O825" t="n">
        <v>0</v>
      </c>
      <c r="P825" t="n">
        <v>0</v>
      </c>
      <c r="Q825" t="n">
        <v>0</v>
      </c>
      <c r="R825" s="2" t="inlineStr"/>
    </row>
    <row r="826" ht="15" customHeight="1">
      <c r="A826" t="inlineStr">
        <is>
          <t>A 50967-2023</t>
        </is>
      </c>
      <c r="B826" s="1" t="n">
        <v>45218.49332175926</v>
      </c>
      <c r="C826" s="1" t="n">
        <v>46100</v>
      </c>
      <c r="D826" t="inlineStr">
        <is>
          <t>BLEKINGE LÄN</t>
        </is>
      </c>
      <c r="E826" t="inlineStr">
        <is>
          <t>KARLSKRONA</t>
        </is>
      </c>
      <c r="G826" t="n">
        <v>1.9</v>
      </c>
      <c r="H826" t="n">
        <v>0</v>
      </c>
      <c r="I826" t="n">
        <v>0</v>
      </c>
      <c r="J826" t="n">
        <v>0</v>
      </c>
      <c r="K826" t="n">
        <v>0</v>
      </c>
      <c r="L826" t="n">
        <v>0</v>
      </c>
      <c r="M826" t="n">
        <v>0</v>
      </c>
      <c r="N826" t="n">
        <v>0</v>
      </c>
      <c r="O826" t="n">
        <v>0</v>
      </c>
      <c r="P826" t="n">
        <v>0</v>
      </c>
      <c r="Q826" t="n">
        <v>0</v>
      </c>
      <c r="R826" s="2" t="inlineStr"/>
    </row>
    <row r="827" ht="15" customHeight="1">
      <c r="A827" t="inlineStr">
        <is>
          <t>A 30064-2022</t>
        </is>
      </c>
      <c r="B827" s="1" t="n">
        <v>44757.34600694444</v>
      </c>
      <c r="C827" s="1" t="n">
        <v>46100</v>
      </c>
      <c r="D827" t="inlineStr">
        <is>
          <t>BLEKINGE LÄN</t>
        </is>
      </c>
      <c r="E827" t="inlineStr">
        <is>
          <t>KARLSKRONA</t>
        </is>
      </c>
      <c r="G827" t="n">
        <v>1.1</v>
      </c>
      <c r="H827" t="n">
        <v>0</v>
      </c>
      <c r="I827" t="n">
        <v>0</v>
      </c>
      <c r="J827" t="n">
        <v>0</v>
      </c>
      <c r="K827" t="n">
        <v>0</v>
      </c>
      <c r="L827" t="n">
        <v>0</v>
      </c>
      <c r="M827" t="n">
        <v>0</v>
      </c>
      <c r="N827" t="n">
        <v>0</v>
      </c>
      <c r="O827" t="n">
        <v>0</v>
      </c>
      <c r="P827" t="n">
        <v>0</v>
      </c>
      <c r="Q827" t="n">
        <v>0</v>
      </c>
      <c r="R827" s="2" t="inlineStr"/>
    </row>
    <row r="828" ht="15" customHeight="1">
      <c r="A828" t="inlineStr">
        <is>
          <t>A 9763-2022</t>
        </is>
      </c>
      <c r="B828" s="1" t="n">
        <v>44619</v>
      </c>
      <c r="C828" s="1" t="n">
        <v>46100</v>
      </c>
      <c r="D828" t="inlineStr">
        <is>
          <t>BLEKINGE LÄN</t>
        </is>
      </c>
      <c r="E828" t="inlineStr">
        <is>
          <t>KARLSKRONA</t>
        </is>
      </c>
      <c r="G828" t="n">
        <v>11</v>
      </c>
      <c r="H828" t="n">
        <v>0</v>
      </c>
      <c r="I828" t="n">
        <v>0</v>
      </c>
      <c r="J828" t="n">
        <v>0</v>
      </c>
      <c r="K828" t="n">
        <v>0</v>
      </c>
      <c r="L828" t="n">
        <v>0</v>
      </c>
      <c r="M828" t="n">
        <v>0</v>
      </c>
      <c r="N828" t="n">
        <v>0</v>
      </c>
      <c r="O828" t="n">
        <v>0</v>
      </c>
      <c r="P828" t="n">
        <v>0</v>
      </c>
      <c r="Q828" t="n">
        <v>0</v>
      </c>
      <c r="R828" s="2" t="inlineStr"/>
    </row>
    <row r="829" ht="15" customHeight="1">
      <c r="A829" t="inlineStr">
        <is>
          <t>A 50594-2025</t>
        </is>
      </c>
      <c r="B829" s="1" t="n">
        <v>45945.60642361111</v>
      </c>
      <c r="C829" s="1" t="n">
        <v>46100</v>
      </c>
      <c r="D829" t="inlineStr">
        <is>
          <t>BLEKINGE LÄN</t>
        </is>
      </c>
      <c r="E829" t="inlineStr">
        <is>
          <t>KARLSKRONA</t>
        </is>
      </c>
      <c r="G829" t="n">
        <v>1.3</v>
      </c>
      <c r="H829" t="n">
        <v>0</v>
      </c>
      <c r="I829" t="n">
        <v>0</v>
      </c>
      <c r="J829" t="n">
        <v>0</v>
      </c>
      <c r="K829" t="n">
        <v>0</v>
      </c>
      <c r="L829" t="n">
        <v>0</v>
      </c>
      <c r="M829" t="n">
        <v>0</v>
      </c>
      <c r="N829" t="n">
        <v>0</v>
      </c>
      <c r="O829" t="n">
        <v>0</v>
      </c>
      <c r="P829" t="n">
        <v>0</v>
      </c>
      <c r="Q829" t="n">
        <v>0</v>
      </c>
      <c r="R829" s="2" t="inlineStr"/>
    </row>
    <row r="830" ht="15" customHeight="1">
      <c r="A830" t="inlineStr">
        <is>
          <t>A 45908-2023</t>
        </is>
      </c>
      <c r="B830" s="1" t="n">
        <v>45195.77855324074</v>
      </c>
      <c r="C830" s="1" t="n">
        <v>46100</v>
      </c>
      <c r="D830" t="inlineStr">
        <is>
          <t>BLEKINGE LÄN</t>
        </is>
      </c>
      <c r="E830" t="inlineStr">
        <is>
          <t>KARLSKRONA</t>
        </is>
      </c>
      <c r="G830" t="n">
        <v>1</v>
      </c>
      <c r="H830" t="n">
        <v>0</v>
      </c>
      <c r="I830" t="n">
        <v>0</v>
      </c>
      <c r="J830" t="n">
        <v>0</v>
      </c>
      <c r="K830" t="n">
        <v>0</v>
      </c>
      <c r="L830" t="n">
        <v>0</v>
      </c>
      <c r="M830" t="n">
        <v>0</v>
      </c>
      <c r="N830" t="n">
        <v>0</v>
      </c>
      <c r="O830" t="n">
        <v>0</v>
      </c>
      <c r="P830" t="n">
        <v>0</v>
      </c>
      <c r="Q830" t="n">
        <v>0</v>
      </c>
      <c r="R830" s="2" t="inlineStr"/>
    </row>
    <row r="831" ht="15" customHeight="1">
      <c r="A831" t="inlineStr">
        <is>
          <t>A 42323-2023</t>
        </is>
      </c>
      <c r="B831" s="1" t="n">
        <v>45180</v>
      </c>
      <c r="C831" s="1" t="n">
        <v>46100</v>
      </c>
      <c r="D831" t="inlineStr">
        <is>
          <t>BLEKINGE LÄN</t>
        </is>
      </c>
      <c r="E831" t="inlineStr">
        <is>
          <t>KARLSKRONA</t>
        </is>
      </c>
      <c r="G831" t="n">
        <v>14.7</v>
      </c>
      <c r="H831" t="n">
        <v>0</v>
      </c>
      <c r="I831" t="n">
        <v>0</v>
      </c>
      <c r="J831" t="n">
        <v>0</v>
      </c>
      <c r="K831" t="n">
        <v>0</v>
      </c>
      <c r="L831" t="n">
        <v>0</v>
      </c>
      <c r="M831" t="n">
        <v>0</v>
      </c>
      <c r="N831" t="n">
        <v>0</v>
      </c>
      <c r="O831" t="n">
        <v>0</v>
      </c>
      <c r="P831" t="n">
        <v>0</v>
      </c>
      <c r="Q831" t="n">
        <v>0</v>
      </c>
      <c r="R831" s="2" t="inlineStr"/>
    </row>
    <row r="832" ht="15" customHeight="1">
      <c r="A832" t="inlineStr">
        <is>
          <t>A 37690-2025</t>
        </is>
      </c>
      <c r="B832" s="1" t="n">
        <v>45880</v>
      </c>
      <c r="C832" s="1" t="n">
        <v>46100</v>
      </c>
      <c r="D832" t="inlineStr">
        <is>
          <t>BLEKINGE LÄN</t>
        </is>
      </c>
      <c r="E832" t="inlineStr">
        <is>
          <t>KARLSKRONA</t>
        </is>
      </c>
      <c r="G832" t="n">
        <v>10.4</v>
      </c>
      <c r="H832" t="n">
        <v>0</v>
      </c>
      <c r="I832" t="n">
        <v>0</v>
      </c>
      <c r="J832" t="n">
        <v>0</v>
      </c>
      <c r="K832" t="n">
        <v>0</v>
      </c>
      <c r="L832" t="n">
        <v>0</v>
      </c>
      <c r="M832" t="n">
        <v>0</v>
      </c>
      <c r="N832" t="n">
        <v>0</v>
      </c>
      <c r="O832" t="n">
        <v>0</v>
      </c>
      <c r="P832" t="n">
        <v>0</v>
      </c>
      <c r="Q832" t="n">
        <v>0</v>
      </c>
      <c r="R832" s="2" t="inlineStr"/>
    </row>
    <row r="833" ht="15" customHeight="1">
      <c r="A833" t="inlineStr">
        <is>
          <t>A 13497-2025</t>
        </is>
      </c>
      <c r="B833" s="1" t="n">
        <v>45736.44543981482</v>
      </c>
      <c r="C833" s="1" t="n">
        <v>46100</v>
      </c>
      <c r="D833" t="inlineStr">
        <is>
          <t>BLEKINGE LÄN</t>
        </is>
      </c>
      <c r="E833" t="inlineStr">
        <is>
          <t>KARLSKRONA</t>
        </is>
      </c>
      <c r="G833" t="n">
        <v>0.5</v>
      </c>
      <c r="H833" t="n">
        <v>0</v>
      </c>
      <c r="I833" t="n">
        <v>0</v>
      </c>
      <c r="J833" t="n">
        <v>0</v>
      </c>
      <c r="K833" t="n">
        <v>0</v>
      </c>
      <c r="L833" t="n">
        <v>0</v>
      </c>
      <c r="M833" t="n">
        <v>0</v>
      </c>
      <c r="N833" t="n">
        <v>0</v>
      </c>
      <c r="O833" t="n">
        <v>0</v>
      </c>
      <c r="P833" t="n">
        <v>0</v>
      </c>
      <c r="Q833" t="n">
        <v>0</v>
      </c>
      <c r="R833" s="2" t="inlineStr"/>
    </row>
    <row r="834" ht="15" customHeight="1">
      <c r="A834" t="inlineStr">
        <is>
          <t>A 59134-2025</t>
        </is>
      </c>
      <c r="B834" s="1" t="n">
        <v>45988.49774305556</v>
      </c>
      <c r="C834" s="1" t="n">
        <v>46100</v>
      </c>
      <c r="D834" t="inlineStr">
        <is>
          <t>BLEKINGE LÄN</t>
        </is>
      </c>
      <c r="E834" t="inlineStr">
        <is>
          <t>KARLSKRONA</t>
        </is>
      </c>
      <c r="G834" t="n">
        <v>0.4</v>
      </c>
      <c r="H834" t="n">
        <v>0</v>
      </c>
      <c r="I834" t="n">
        <v>0</v>
      </c>
      <c r="J834" t="n">
        <v>0</v>
      </c>
      <c r="K834" t="n">
        <v>0</v>
      </c>
      <c r="L834" t="n">
        <v>0</v>
      </c>
      <c r="M834" t="n">
        <v>0</v>
      </c>
      <c r="N834" t="n">
        <v>0</v>
      </c>
      <c r="O834" t="n">
        <v>0</v>
      </c>
      <c r="P834" t="n">
        <v>0</v>
      </c>
      <c r="Q834" t="n">
        <v>0</v>
      </c>
      <c r="R834" s="2" t="inlineStr"/>
    </row>
    <row r="835" ht="15" customHeight="1">
      <c r="A835" t="inlineStr">
        <is>
          <t>A 38344-2025</t>
        </is>
      </c>
      <c r="B835" s="1" t="n">
        <v>45883.50537037037</v>
      </c>
      <c r="C835" s="1" t="n">
        <v>46100</v>
      </c>
      <c r="D835" t="inlineStr">
        <is>
          <t>BLEKINGE LÄN</t>
        </is>
      </c>
      <c r="E835" t="inlineStr">
        <is>
          <t>KARLSKRONA</t>
        </is>
      </c>
      <c r="G835" t="n">
        <v>0.5</v>
      </c>
      <c r="H835" t="n">
        <v>0</v>
      </c>
      <c r="I835" t="n">
        <v>0</v>
      </c>
      <c r="J835" t="n">
        <v>0</v>
      </c>
      <c r="K835" t="n">
        <v>0</v>
      </c>
      <c r="L835" t="n">
        <v>0</v>
      </c>
      <c r="M835" t="n">
        <v>0</v>
      </c>
      <c r="N835" t="n">
        <v>0</v>
      </c>
      <c r="O835" t="n">
        <v>0</v>
      </c>
      <c r="P835" t="n">
        <v>0</v>
      </c>
      <c r="Q835" t="n">
        <v>0</v>
      </c>
      <c r="R835" s="2" t="inlineStr"/>
    </row>
    <row r="836" ht="15" customHeight="1">
      <c r="A836" t="inlineStr">
        <is>
          <t>A 59122-2024</t>
        </is>
      </c>
      <c r="B836" s="1" t="n">
        <v>45637.38047453704</v>
      </c>
      <c r="C836" s="1" t="n">
        <v>46100</v>
      </c>
      <c r="D836" t="inlineStr">
        <is>
          <t>BLEKINGE LÄN</t>
        </is>
      </c>
      <c r="E836" t="inlineStr">
        <is>
          <t>KARLSKRONA</t>
        </is>
      </c>
      <c r="G836" t="n">
        <v>0.6</v>
      </c>
      <c r="H836" t="n">
        <v>0</v>
      </c>
      <c r="I836" t="n">
        <v>0</v>
      </c>
      <c r="J836" t="n">
        <v>0</v>
      </c>
      <c r="K836" t="n">
        <v>0</v>
      </c>
      <c r="L836" t="n">
        <v>0</v>
      </c>
      <c r="M836" t="n">
        <v>0</v>
      </c>
      <c r="N836" t="n">
        <v>0</v>
      </c>
      <c r="O836" t="n">
        <v>0</v>
      </c>
      <c r="P836" t="n">
        <v>0</v>
      </c>
      <c r="Q836" t="n">
        <v>0</v>
      </c>
      <c r="R836" s="2" t="inlineStr"/>
    </row>
    <row r="837" ht="15" customHeight="1">
      <c r="A837" t="inlineStr">
        <is>
          <t>A 38342-2025</t>
        </is>
      </c>
      <c r="B837" s="1" t="n">
        <v>45883.50228009259</v>
      </c>
      <c r="C837" s="1" t="n">
        <v>46100</v>
      </c>
      <c r="D837" t="inlineStr">
        <is>
          <t>BLEKINGE LÄN</t>
        </is>
      </c>
      <c r="E837" t="inlineStr">
        <is>
          <t>KARLSKRONA</t>
        </is>
      </c>
      <c r="G837" t="n">
        <v>0.5</v>
      </c>
      <c r="H837" t="n">
        <v>0</v>
      </c>
      <c r="I837" t="n">
        <v>0</v>
      </c>
      <c r="J837" t="n">
        <v>0</v>
      </c>
      <c r="K837" t="n">
        <v>0</v>
      </c>
      <c r="L837" t="n">
        <v>0</v>
      </c>
      <c r="M837" t="n">
        <v>0</v>
      </c>
      <c r="N837" t="n">
        <v>0</v>
      </c>
      <c r="O837" t="n">
        <v>0</v>
      </c>
      <c r="P837" t="n">
        <v>0</v>
      </c>
      <c r="Q837" t="n">
        <v>0</v>
      </c>
      <c r="R837" s="2" t="inlineStr"/>
    </row>
    <row r="838" ht="15" customHeight="1">
      <c r="A838" t="inlineStr">
        <is>
          <t>A 34319-2025</t>
        </is>
      </c>
      <c r="B838" s="1" t="n">
        <v>45846</v>
      </c>
      <c r="C838" s="1" t="n">
        <v>46100</v>
      </c>
      <c r="D838" t="inlineStr">
        <is>
          <t>BLEKINGE LÄN</t>
        </is>
      </c>
      <c r="E838" t="inlineStr">
        <is>
          <t>KARLSKRONA</t>
        </is>
      </c>
      <c r="F838" t="inlineStr">
        <is>
          <t>Kommuner</t>
        </is>
      </c>
      <c r="G838" t="n">
        <v>1.3</v>
      </c>
      <c r="H838" t="n">
        <v>0</v>
      </c>
      <c r="I838" t="n">
        <v>0</v>
      </c>
      <c r="J838" t="n">
        <v>0</v>
      </c>
      <c r="K838" t="n">
        <v>0</v>
      </c>
      <c r="L838" t="n">
        <v>0</v>
      </c>
      <c r="M838" t="n">
        <v>0</v>
      </c>
      <c r="N838" t="n">
        <v>0</v>
      </c>
      <c r="O838" t="n">
        <v>0</v>
      </c>
      <c r="P838" t="n">
        <v>0</v>
      </c>
      <c r="Q838" t="n">
        <v>0</v>
      </c>
      <c r="R838" s="2" t="inlineStr"/>
    </row>
    <row r="839" ht="15" customHeight="1">
      <c r="A839" t="inlineStr">
        <is>
          <t>A 42437-2025</t>
        </is>
      </c>
      <c r="B839" s="1" t="n">
        <v>45905</v>
      </c>
      <c r="C839" s="1" t="n">
        <v>46100</v>
      </c>
      <c r="D839" t="inlineStr">
        <is>
          <t>BLEKINGE LÄN</t>
        </is>
      </c>
      <c r="E839" t="inlineStr">
        <is>
          <t>KARLSKRONA</t>
        </is>
      </c>
      <c r="F839" t="inlineStr">
        <is>
          <t>Kommuner</t>
        </is>
      </c>
      <c r="G839" t="n">
        <v>4.4</v>
      </c>
      <c r="H839" t="n">
        <v>0</v>
      </c>
      <c r="I839" t="n">
        <v>0</v>
      </c>
      <c r="J839" t="n">
        <v>0</v>
      </c>
      <c r="K839" t="n">
        <v>0</v>
      </c>
      <c r="L839" t="n">
        <v>0</v>
      </c>
      <c r="M839" t="n">
        <v>0</v>
      </c>
      <c r="N839" t="n">
        <v>0</v>
      </c>
      <c r="O839" t="n">
        <v>0</v>
      </c>
      <c r="P839" t="n">
        <v>0</v>
      </c>
      <c r="Q839" t="n">
        <v>0</v>
      </c>
      <c r="R839" s="2" t="inlineStr"/>
    </row>
    <row r="840" ht="15" customHeight="1">
      <c r="A840" t="inlineStr">
        <is>
          <t>A 42532-2023</t>
        </is>
      </c>
      <c r="B840" s="1" t="n">
        <v>45181</v>
      </c>
      <c r="C840" s="1" t="n">
        <v>46100</v>
      </c>
      <c r="D840" t="inlineStr">
        <is>
          <t>BLEKINGE LÄN</t>
        </is>
      </c>
      <c r="E840" t="inlineStr">
        <is>
          <t>KARLSKRONA</t>
        </is>
      </c>
      <c r="G840" t="n">
        <v>3.9</v>
      </c>
      <c r="H840" t="n">
        <v>0</v>
      </c>
      <c r="I840" t="n">
        <v>0</v>
      </c>
      <c r="J840" t="n">
        <v>0</v>
      </c>
      <c r="K840" t="n">
        <v>0</v>
      </c>
      <c r="L840" t="n">
        <v>0</v>
      </c>
      <c r="M840" t="n">
        <v>0</v>
      </c>
      <c r="N840" t="n">
        <v>0</v>
      </c>
      <c r="O840" t="n">
        <v>0</v>
      </c>
      <c r="P840" t="n">
        <v>0</v>
      </c>
      <c r="Q840" t="n">
        <v>0</v>
      </c>
      <c r="R840" s="2" t="inlineStr"/>
    </row>
    <row r="841" ht="15" customHeight="1">
      <c r="A841" t="inlineStr">
        <is>
          <t>A 41968-2025</t>
        </is>
      </c>
      <c r="B841" s="1" t="n">
        <v>45903</v>
      </c>
      <c r="C841" s="1" t="n">
        <v>46100</v>
      </c>
      <c r="D841" t="inlineStr">
        <is>
          <t>BLEKINGE LÄN</t>
        </is>
      </c>
      <c r="E841" t="inlineStr">
        <is>
          <t>KARLSKRONA</t>
        </is>
      </c>
      <c r="F841" t="inlineStr">
        <is>
          <t>Kommuner</t>
        </is>
      </c>
      <c r="G841" t="n">
        <v>4.6</v>
      </c>
      <c r="H841" t="n">
        <v>0</v>
      </c>
      <c r="I841" t="n">
        <v>0</v>
      </c>
      <c r="J841" t="n">
        <v>0</v>
      </c>
      <c r="K841" t="n">
        <v>0</v>
      </c>
      <c r="L841" t="n">
        <v>0</v>
      </c>
      <c r="M841" t="n">
        <v>0</v>
      </c>
      <c r="N841" t="n">
        <v>0</v>
      </c>
      <c r="O841" t="n">
        <v>0</v>
      </c>
      <c r="P841" t="n">
        <v>0</v>
      </c>
      <c r="Q841" t="n">
        <v>0</v>
      </c>
      <c r="R841" s="2" t="inlineStr"/>
    </row>
    <row r="842" ht="15" customHeight="1">
      <c r="A842" t="inlineStr">
        <is>
          <t>A 41201-2022</t>
        </is>
      </c>
      <c r="B842" s="1" t="n">
        <v>44825.97048611111</v>
      </c>
      <c r="C842" s="1" t="n">
        <v>46100</v>
      </c>
      <c r="D842" t="inlineStr">
        <is>
          <t>BLEKINGE LÄN</t>
        </is>
      </c>
      <c r="E842" t="inlineStr">
        <is>
          <t>KARLSKRONA</t>
        </is>
      </c>
      <c r="G842" t="n">
        <v>1.3</v>
      </c>
      <c r="H842" t="n">
        <v>0</v>
      </c>
      <c r="I842" t="n">
        <v>0</v>
      </c>
      <c r="J842" t="n">
        <v>0</v>
      </c>
      <c r="K842" t="n">
        <v>0</v>
      </c>
      <c r="L842" t="n">
        <v>0</v>
      </c>
      <c r="M842" t="n">
        <v>0</v>
      </c>
      <c r="N842" t="n">
        <v>0</v>
      </c>
      <c r="O842" t="n">
        <v>0</v>
      </c>
      <c r="P842" t="n">
        <v>0</v>
      </c>
      <c r="Q842" t="n">
        <v>0</v>
      </c>
      <c r="R842" s="2" t="inlineStr"/>
    </row>
    <row r="843" ht="15" customHeight="1">
      <c r="A843" t="inlineStr">
        <is>
          <t>A 43211-2025</t>
        </is>
      </c>
      <c r="B843" s="1" t="n">
        <v>45910</v>
      </c>
      <c r="C843" s="1" t="n">
        <v>46100</v>
      </c>
      <c r="D843" t="inlineStr">
        <is>
          <t>BLEKINGE LÄN</t>
        </is>
      </c>
      <c r="E843" t="inlineStr">
        <is>
          <t>KARLSKRONA</t>
        </is>
      </c>
      <c r="G843" t="n">
        <v>2.1</v>
      </c>
      <c r="H843" t="n">
        <v>0</v>
      </c>
      <c r="I843" t="n">
        <v>0</v>
      </c>
      <c r="J843" t="n">
        <v>0</v>
      </c>
      <c r="K843" t="n">
        <v>0</v>
      </c>
      <c r="L843" t="n">
        <v>0</v>
      </c>
      <c r="M843" t="n">
        <v>0</v>
      </c>
      <c r="N843" t="n">
        <v>0</v>
      </c>
      <c r="O843" t="n">
        <v>0</v>
      </c>
      <c r="P843" t="n">
        <v>0</v>
      </c>
      <c r="Q843" t="n">
        <v>0</v>
      </c>
      <c r="R843" s="2" t="inlineStr"/>
    </row>
    <row r="844" ht="15" customHeight="1">
      <c r="A844" t="inlineStr">
        <is>
          <t>A 46712-2021</t>
        </is>
      </c>
      <c r="B844" s="1" t="n">
        <v>44445.65237268519</v>
      </c>
      <c r="C844" s="1" t="n">
        <v>46100</v>
      </c>
      <c r="D844" t="inlineStr">
        <is>
          <t>BLEKINGE LÄN</t>
        </is>
      </c>
      <c r="E844" t="inlineStr">
        <is>
          <t>KARLSKRONA</t>
        </is>
      </c>
      <c r="G844" t="n">
        <v>2.4</v>
      </c>
      <c r="H844" t="n">
        <v>0</v>
      </c>
      <c r="I844" t="n">
        <v>0</v>
      </c>
      <c r="J844" t="n">
        <v>0</v>
      </c>
      <c r="K844" t="n">
        <v>0</v>
      </c>
      <c r="L844" t="n">
        <v>0</v>
      </c>
      <c r="M844" t="n">
        <v>0</v>
      </c>
      <c r="N844" t="n">
        <v>0</v>
      </c>
      <c r="O844" t="n">
        <v>0</v>
      </c>
      <c r="P844" t="n">
        <v>0</v>
      </c>
      <c r="Q844" t="n">
        <v>0</v>
      </c>
      <c r="R844" s="2" t="inlineStr"/>
    </row>
    <row r="845" ht="15" customHeight="1">
      <c r="A845" t="inlineStr">
        <is>
          <t>A 59884-2025</t>
        </is>
      </c>
      <c r="B845" s="1" t="n">
        <v>45993.32045138889</v>
      </c>
      <c r="C845" s="1" t="n">
        <v>46100</v>
      </c>
      <c r="D845" t="inlineStr">
        <is>
          <t>BLEKINGE LÄN</t>
        </is>
      </c>
      <c r="E845" t="inlineStr">
        <is>
          <t>KARLSKRONA</t>
        </is>
      </c>
      <c r="G845" t="n">
        <v>1</v>
      </c>
      <c r="H845" t="n">
        <v>0</v>
      </c>
      <c r="I845" t="n">
        <v>0</v>
      </c>
      <c r="J845" t="n">
        <v>0</v>
      </c>
      <c r="K845" t="n">
        <v>0</v>
      </c>
      <c r="L845" t="n">
        <v>0</v>
      </c>
      <c r="M845" t="n">
        <v>0</v>
      </c>
      <c r="N845" t="n">
        <v>0</v>
      </c>
      <c r="O845" t="n">
        <v>0</v>
      </c>
      <c r="P845" t="n">
        <v>0</v>
      </c>
      <c r="Q845" t="n">
        <v>0</v>
      </c>
      <c r="R845" s="2" t="inlineStr"/>
    </row>
    <row r="846" ht="15" customHeight="1">
      <c r="A846" t="inlineStr">
        <is>
          <t>A 34323-2025</t>
        </is>
      </c>
      <c r="B846" s="1" t="n">
        <v>45846</v>
      </c>
      <c r="C846" s="1" t="n">
        <v>46100</v>
      </c>
      <c r="D846" t="inlineStr">
        <is>
          <t>BLEKINGE LÄN</t>
        </is>
      </c>
      <c r="E846" t="inlineStr">
        <is>
          <t>KARLSKRONA</t>
        </is>
      </c>
      <c r="F846" t="inlineStr">
        <is>
          <t>Kommuner</t>
        </is>
      </c>
      <c r="G846" t="n">
        <v>0.9</v>
      </c>
      <c r="H846" t="n">
        <v>0</v>
      </c>
      <c r="I846" t="n">
        <v>0</v>
      </c>
      <c r="J846" t="n">
        <v>0</v>
      </c>
      <c r="K846" t="n">
        <v>0</v>
      </c>
      <c r="L846" t="n">
        <v>0</v>
      </c>
      <c r="M846" t="n">
        <v>0</v>
      </c>
      <c r="N846" t="n">
        <v>0</v>
      </c>
      <c r="O846" t="n">
        <v>0</v>
      </c>
      <c r="P846" t="n">
        <v>0</v>
      </c>
      <c r="Q846" t="n">
        <v>0</v>
      </c>
      <c r="R846" s="2" t="inlineStr"/>
    </row>
    <row r="847" ht="15" customHeight="1">
      <c r="A847" t="inlineStr">
        <is>
          <t>A 59886-2025</t>
        </is>
      </c>
      <c r="B847" s="1" t="n">
        <v>45993.32222222222</v>
      </c>
      <c r="C847" s="1" t="n">
        <v>46100</v>
      </c>
      <c r="D847" t="inlineStr">
        <is>
          <t>BLEKINGE LÄN</t>
        </is>
      </c>
      <c r="E847" t="inlineStr">
        <is>
          <t>KARLSKRONA</t>
        </is>
      </c>
      <c r="G847" t="n">
        <v>0.6</v>
      </c>
      <c r="H847" t="n">
        <v>0</v>
      </c>
      <c r="I847" t="n">
        <v>0</v>
      </c>
      <c r="J847" t="n">
        <v>0</v>
      </c>
      <c r="K847" t="n">
        <v>0</v>
      </c>
      <c r="L847" t="n">
        <v>0</v>
      </c>
      <c r="M847" t="n">
        <v>0</v>
      </c>
      <c r="N847" t="n">
        <v>0</v>
      </c>
      <c r="O847" t="n">
        <v>0</v>
      </c>
      <c r="P847" t="n">
        <v>0</v>
      </c>
      <c r="Q847" t="n">
        <v>0</v>
      </c>
      <c r="R847" s="2" t="inlineStr"/>
    </row>
    <row r="848" ht="15" customHeight="1">
      <c r="A848" t="inlineStr">
        <is>
          <t>A 60291-2025</t>
        </is>
      </c>
      <c r="B848" s="1" t="n">
        <v>45994.6533912037</v>
      </c>
      <c r="C848" s="1" t="n">
        <v>46100</v>
      </c>
      <c r="D848" t="inlineStr">
        <is>
          <t>BLEKINGE LÄN</t>
        </is>
      </c>
      <c r="E848" t="inlineStr">
        <is>
          <t>KARLSKRONA</t>
        </is>
      </c>
      <c r="G848" t="n">
        <v>4.5</v>
      </c>
      <c r="H848" t="n">
        <v>0</v>
      </c>
      <c r="I848" t="n">
        <v>0</v>
      </c>
      <c r="J848" t="n">
        <v>0</v>
      </c>
      <c r="K848" t="n">
        <v>0</v>
      </c>
      <c r="L848" t="n">
        <v>0</v>
      </c>
      <c r="M848" t="n">
        <v>0</v>
      </c>
      <c r="N848" t="n">
        <v>0</v>
      </c>
      <c r="O848" t="n">
        <v>0</v>
      </c>
      <c r="P848" t="n">
        <v>0</v>
      </c>
      <c r="Q848" t="n">
        <v>0</v>
      </c>
      <c r="R848" s="2" t="inlineStr"/>
    </row>
    <row r="849" ht="15" customHeight="1">
      <c r="A849" t="inlineStr">
        <is>
          <t>A 60489-2025</t>
        </is>
      </c>
      <c r="B849" s="1" t="n">
        <v>45995</v>
      </c>
      <c r="C849" s="1" t="n">
        <v>46100</v>
      </c>
      <c r="D849" t="inlineStr">
        <is>
          <t>BLEKINGE LÄN</t>
        </is>
      </c>
      <c r="E849" t="inlineStr">
        <is>
          <t>KARLSKRONA</t>
        </is>
      </c>
      <c r="G849" t="n">
        <v>18.3</v>
      </c>
      <c r="H849" t="n">
        <v>0</v>
      </c>
      <c r="I849" t="n">
        <v>0</v>
      </c>
      <c r="J849" t="n">
        <v>0</v>
      </c>
      <c r="K849" t="n">
        <v>0</v>
      </c>
      <c r="L849" t="n">
        <v>0</v>
      </c>
      <c r="M849" t="n">
        <v>0</v>
      </c>
      <c r="N849" t="n">
        <v>0</v>
      </c>
      <c r="O849" t="n">
        <v>0</v>
      </c>
      <c r="P849" t="n">
        <v>0</v>
      </c>
      <c r="Q849" t="n">
        <v>0</v>
      </c>
      <c r="R849" s="2" t="inlineStr"/>
    </row>
    <row r="850" ht="15" customHeight="1">
      <c r="A850" t="inlineStr">
        <is>
          <t>A 60502-2025</t>
        </is>
      </c>
      <c r="B850" s="1" t="n">
        <v>45995</v>
      </c>
      <c r="C850" s="1" t="n">
        <v>46100</v>
      </c>
      <c r="D850" t="inlineStr">
        <is>
          <t>BLEKINGE LÄN</t>
        </is>
      </c>
      <c r="E850" t="inlineStr">
        <is>
          <t>KARLSKRONA</t>
        </is>
      </c>
      <c r="G850" t="n">
        <v>4.1</v>
      </c>
      <c r="H850" t="n">
        <v>0</v>
      </c>
      <c r="I850" t="n">
        <v>0</v>
      </c>
      <c r="J850" t="n">
        <v>0</v>
      </c>
      <c r="K850" t="n">
        <v>0</v>
      </c>
      <c r="L850" t="n">
        <v>0</v>
      </c>
      <c r="M850" t="n">
        <v>0</v>
      </c>
      <c r="N850" t="n">
        <v>0</v>
      </c>
      <c r="O850" t="n">
        <v>0</v>
      </c>
      <c r="P850" t="n">
        <v>0</v>
      </c>
      <c r="Q850" t="n">
        <v>0</v>
      </c>
      <c r="R850" s="2" t="inlineStr"/>
    </row>
    <row r="851" ht="15" customHeight="1">
      <c r="A851" t="inlineStr">
        <is>
          <t>A 2191-2024</t>
        </is>
      </c>
      <c r="B851" s="1" t="n">
        <v>45309.69259259259</v>
      </c>
      <c r="C851" s="1" t="n">
        <v>46100</v>
      </c>
      <c r="D851" t="inlineStr">
        <is>
          <t>BLEKINGE LÄN</t>
        </is>
      </c>
      <c r="E851" t="inlineStr">
        <is>
          <t>KARLSKRONA</t>
        </is>
      </c>
      <c r="G851" t="n">
        <v>1.6</v>
      </c>
      <c r="H851" t="n">
        <v>0</v>
      </c>
      <c r="I851" t="n">
        <v>0</v>
      </c>
      <c r="J851" t="n">
        <v>0</v>
      </c>
      <c r="K851" t="n">
        <v>0</v>
      </c>
      <c r="L851" t="n">
        <v>0</v>
      </c>
      <c r="M851" t="n">
        <v>0</v>
      </c>
      <c r="N851" t="n">
        <v>0</v>
      </c>
      <c r="O851" t="n">
        <v>0</v>
      </c>
      <c r="P851" t="n">
        <v>0</v>
      </c>
      <c r="Q851" t="n">
        <v>0</v>
      </c>
      <c r="R851" s="2" t="inlineStr"/>
    </row>
    <row r="852" ht="15" customHeight="1">
      <c r="A852" t="inlineStr">
        <is>
          <t>A 42861-2023</t>
        </is>
      </c>
      <c r="B852" s="1" t="n">
        <v>45182.43038194445</v>
      </c>
      <c r="C852" s="1" t="n">
        <v>46100</v>
      </c>
      <c r="D852" t="inlineStr">
        <is>
          <t>BLEKINGE LÄN</t>
        </is>
      </c>
      <c r="E852" t="inlineStr">
        <is>
          <t>KARLSKRONA</t>
        </is>
      </c>
      <c r="G852" t="n">
        <v>0.5</v>
      </c>
      <c r="H852" t="n">
        <v>0</v>
      </c>
      <c r="I852" t="n">
        <v>0</v>
      </c>
      <c r="J852" t="n">
        <v>0</v>
      </c>
      <c r="K852" t="n">
        <v>0</v>
      </c>
      <c r="L852" t="n">
        <v>0</v>
      </c>
      <c r="M852" t="n">
        <v>0</v>
      </c>
      <c r="N852" t="n">
        <v>0</v>
      </c>
      <c r="O852" t="n">
        <v>0</v>
      </c>
      <c r="P852" t="n">
        <v>0</v>
      </c>
      <c r="Q852" t="n">
        <v>0</v>
      </c>
      <c r="R852" s="2" t="inlineStr"/>
    </row>
    <row r="853" ht="15" customHeight="1">
      <c r="A853" t="inlineStr">
        <is>
          <t>A 15456-2025</t>
        </is>
      </c>
      <c r="B853" s="1" t="n">
        <v>45747.50460648148</v>
      </c>
      <c r="C853" s="1" t="n">
        <v>46100</v>
      </c>
      <c r="D853" t="inlineStr">
        <is>
          <t>BLEKINGE LÄN</t>
        </is>
      </c>
      <c r="E853" t="inlineStr">
        <is>
          <t>KARLSKRONA</t>
        </is>
      </c>
      <c r="G853" t="n">
        <v>6.1</v>
      </c>
      <c r="H853" t="n">
        <v>0</v>
      </c>
      <c r="I853" t="n">
        <v>0</v>
      </c>
      <c r="J853" t="n">
        <v>0</v>
      </c>
      <c r="K853" t="n">
        <v>0</v>
      </c>
      <c r="L853" t="n">
        <v>0</v>
      </c>
      <c r="M853" t="n">
        <v>0</v>
      </c>
      <c r="N853" t="n">
        <v>0</v>
      </c>
      <c r="O853" t="n">
        <v>0</v>
      </c>
      <c r="P853" t="n">
        <v>0</v>
      </c>
      <c r="Q853" t="n">
        <v>0</v>
      </c>
      <c r="R853" s="2" t="inlineStr"/>
    </row>
    <row r="854" ht="15" customHeight="1">
      <c r="A854" t="inlineStr">
        <is>
          <t>A 40088-2024</t>
        </is>
      </c>
      <c r="B854" s="1" t="n">
        <v>45554</v>
      </c>
      <c r="C854" s="1" t="n">
        <v>46100</v>
      </c>
      <c r="D854" t="inlineStr">
        <is>
          <t>BLEKINGE LÄN</t>
        </is>
      </c>
      <c r="E854" t="inlineStr">
        <is>
          <t>KARLSKRONA</t>
        </is>
      </c>
      <c r="G854" t="n">
        <v>0.7</v>
      </c>
      <c r="H854" t="n">
        <v>0</v>
      </c>
      <c r="I854" t="n">
        <v>0</v>
      </c>
      <c r="J854" t="n">
        <v>0</v>
      </c>
      <c r="K854" t="n">
        <v>0</v>
      </c>
      <c r="L854" t="n">
        <v>0</v>
      </c>
      <c r="M854" t="n">
        <v>0</v>
      </c>
      <c r="N854" t="n">
        <v>0</v>
      </c>
      <c r="O854" t="n">
        <v>0</v>
      </c>
      <c r="P854" t="n">
        <v>0</v>
      </c>
      <c r="Q854" t="n">
        <v>0</v>
      </c>
      <c r="R854" s="2" t="inlineStr"/>
    </row>
    <row r="855" ht="15" customHeight="1">
      <c r="A855" t="inlineStr">
        <is>
          <t>A 25975-2023</t>
        </is>
      </c>
      <c r="B855" s="1" t="n">
        <v>45090.87483796296</v>
      </c>
      <c r="C855" s="1" t="n">
        <v>46100</v>
      </c>
      <c r="D855" t="inlineStr">
        <is>
          <t>BLEKINGE LÄN</t>
        </is>
      </c>
      <c r="E855" t="inlineStr">
        <is>
          <t>KARLSKRONA</t>
        </is>
      </c>
      <c r="G855" t="n">
        <v>1.1</v>
      </c>
      <c r="H855" t="n">
        <v>0</v>
      </c>
      <c r="I855" t="n">
        <v>0</v>
      </c>
      <c r="J855" t="n">
        <v>0</v>
      </c>
      <c r="K855" t="n">
        <v>0</v>
      </c>
      <c r="L855" t="n">
        <v>0</v>
      </c>
      <c r="M855" t="n">
        <v>0</v>
      </c>
      <c r="N855" t="n">
        <v>0</v>
      </c>
      <c r="O855" t="n">
        <v>0</v>
      </c>
      <c r="P855" t="n">
        <v>0</v>
      </c>
      <c r="Q855" t="n">
        <v>0</v>
      </c>
      <c r="R855" s="2" t="inlineStr"/>
    </row>
    <row r="856" ht="15" customHeight="1">
      <c r="A856" t="inlineStr">
        <is>
          <t>A 4205-2024</t>
        </is>
      </c>
      <c r="B856" s="1" t="n">
        <v>45324</v>
      </c>
      <c r="C856" s="1" t="n">
        <v>46100</v>
      </c>
      <c r="D856" t="inlineStr">
        <is>
          <t>BLEKINGE LÄN</t>
        </is>
      </c>
      <c r="E856" t="inlineStr">
        <is>
          <t>KARLSKRONA</t>
        </is>
      </c>
      <c r="G856" t="n">
        <v>3.5</v>
      </c>
      <c r="H856" t="n">
        <v>0</v>
      </c>
      <c r="I856" t="n">
        <v>0</v>
      </c>
      <c r="J856" t="n">
        <v>0</v>
      </c>
      <c r="K856" t="n">
        <v>0</v>
      </c>
      <c r="L856" t="n">
        <v>0</v>
      </c>
      <c r="M856" t="n">
        <v>0</v>
      </c>
      <c r="N856" t="n">
        <v>0</v>
      </c>
      <c r="O856" t="n">
        <v>0</v>
      </c>
      <c r="P856" t="n">
        <v>0</v>
      </c>
      <c r="Q856" t="n">
        <v>0</v>
      </c>
      <c r="R856" s="2" t="inlineStr"/>
    </row>
    <row r="857" ht="15" customHeight="1">
      <c r="A857" t="inlineStr">
        <is>
          <t>A 51934-2023</t>
        </is>
      </c>
      <c r="B857" s="1" t="n">
        <v>45223.50019675926</v>
      </c>
      <c r="C857" s="1" t="n">
        <v>46100</v>
      </c>
      <c r="D857" t="inlineStr">
        <is>
          <t>BLEKINGE LÄN</t>
        </is>
      </c>
      <c r="E857" t="inlineStr">
        <is>
          <t>KARLSKRONA</t>
        </is>
      </c>
      <c r="G857" t="n">
        <v>1.9</v>
      </c>
      <c r="H857" t="n">
        <v>0</v>
      </c>
      <c r="I857" t="n">
        <v>0</v>
      </c>
      <c r="J857" t="n">
        <v>0</v>
      </c>
      <c r="K857" t="n">
        <v>0</v>
      </c>
      <c r="L857" t="n">
        <v>0</v>
      </c>
      <c r="M857" t="n">
        <v>0</v>
      </c>
      <c r="N857" t="n">
        <v>0</v>
      </c>
      <c r="O857" t="n">
        <v>0</v>
      </c>
      <c r="P857" t="n">
        <v>0</v>
      </c>
      <c r="Q857" t="n">
        <v>0</v>
      </c>
      <c r="R857" s="2" t="inlineStr"/>
    </row>
    <row r="858" ht="15" customHeight="1">
      <c r="A858" t="inlineStr">
        <is>
          <t>A 40579-2023</t>
        </is>
      </c>
      <c r="B858" s="1" t="n">
        <v>45170</v>
      </c>
      <c r="C858" s="1" t="n">
        <v>46100</v>
      </c>
      <c r="D858" t="inlineStr">
        <is>
          <t>BLEKINGE LÄN</t>
        </is>
      </c>
      <c r="E858" t="inlineStr">
        <is>
          <t>KARLSKRONA</t>
        </is>
      </c>
      <c r="G858" t="n">
        <v>9.199999999999999</v>
      </c>
      <c r="H858" t="n">
        <v>0</v>
      </c>
      <c r="I858" t="n">
        <v>0</v>
      </c>
      <c r="J858" t="n">
        <v>0</v>
      </c>
      <c r="K858" t="n">
        <v>0</v>
      </c>
      <c r="L858" t="n">
        <v>0</v>
      </c>
      <c r="M858" t="n">
        <v>0</v>
      </c>
      <c r="N858" t="n">
        <v>0</v>
      </c>
      <c r="O858" t="n">
        <v>0</v>
      </c>
      <c r="P858" t="n">
        <v>0</v>
      </c>
      <c r="Q858" t="n">
        <v>0</v>
      </c>
      <c r="R858" s="2" t="inlineStr"/>
    </row>
    <row r="859" ht="15" customHeight="1">
      <c r="A859" t="inlineStr">
        <is>
          <t>A 18730-2023</t>
        </is>
      </c>
      <c r="B859" s="1" t="n">
        <v>45042</v>
      </c>
      <c r="C859" s="1" t="n">
        <v>46100</v>
      </c>
      <c r="D859" t="inlineStr">
        <is>
          <t>BLEKINGE LÄN</t>
        </is>
      </c>
      <c r="E859" t="inlineStr">
        <is>
          <t>KARLSKRONA</t>
        </is>
      </c>
      <c r="G859" t="n">
        <v>1.5</v>
      </c>
      <c r="H859" t="n">
        <v>0</v>
      </c>
      <c r="I859" t="n">
        <v>0</v>
      </c>
      <c r="J859" t="n">
        <v>0</v>
      </c>
      <c r="K859" t="n">
        <v>0</v>
      </c>
      <c r="L859" t="n">
        <v>0</v>
      </c>
      <c r="M859" t="n">
        <v>0</v>
      </c>
      <c r="N859" t="n">
        <v>0</v>
      </c>
      <c r="O859" t="n">
        <v>0</v>
      </c>
      <c r="P859" t="n">
        <v>0</v>
      </c>
      <c r="Q859" t="n">
        <v>0</v>
      </c>
      <c r="R859" s="2" t="inlineStr"/>
    </row>
    <row r="860" ht="15" customHeight="1">
      <c r="A860" t="inlineStr">
        <is>
          <t>A 16200-2024</t>
        </is>
      </c>
      <c r="B860" s="1" t="n">
        <v>45406.73519675926</v>
      </c>
      <c r="C860" s="1" t="n">
        <v>46100</v>
      </c>
      <c r="D860" t="inlineStr">
        <is>
          <t>BLEKINGE LÄN</t>
        </is>
      </c>
      <c r="E860" t="inlineStr">
        <is>
          <t>KARLSKRONA</t>
        </is>
      </c>
      <c r="G860" t="n">
        <v>0.9</v>
      </c>
      <c r="H860" t="n">
        <v>0</v>
      </c>
      <c r="I860" t="n">
        <v>0</v>
      </c>
      <c r="J860" t="n">
        <v>0</v>
      </c>
      <c r="K860" t="n">
        <v>0</v>
      </c>
      <c r="L860" t="n">
        <v>0</v>
      </c>
      <c r="M860" t="n">
        <v>0</v>
      </c>
      <c r="N860" t="n">
        <v>0</v>
      </c>
      <c r="O860" t="n">
        <v>0</v>
      </c>
      <c r="P860" t="n">
        <v>0</v>
      </c>
      <c r="Q860" t="n">
        <v>0</v>
      </c>
      <c r="R860" s="2" t="inlineStr"/>
    </row>
    <row r="861" ht="15" customHeight="1">
      <c r="A861" t="inlineStr">
        <is>
          <t>A 38392-2023</t>
        </is>
      </c>
      <c r="B861" s="1" t="n">
        <v>45162</v>
      </c>
      <c r="C861" s="1" t="n">
        <v>46100</v>
      </c>
      <c r="D861" t="inlineStr">
        <is>
          <t>BLEKINGE LÄN</t>
        </is>
      </c>
      <c r="E861" t="inlineStr">
        <is>
          <t>KARLSKRONA</t>
        </is>
      </c>
      <c r="G861" t="n">
        <v>0.6</v>
      </c>
      <c r="H861" t="n">
        <v>0</v>
      </c>
      <c r="I861" t="n">
        <v>0</v>
      </c>
      <c r="J861" t="n">
        <v>0</v>
      </c>
      <c r="K861" t="n">
        <v>0</v>
      </c>
      <c r="L861" t="n">
        <v>0</v>
      </c>
      <c r="M861" t="n">
        <v>0</v>
      </c>
      <c r="N861" t="n">
        <v>0</v>
      </c>
      <c r="O861" t="n">
        <v>0</v>
      </c>
      <c r="P861" t="n">
        <v>0</v>
      </c>
      <c r="Q861" t="n">
        <v>0</v>
      </c>
      <c r="R861" s="2" t="inlineStr"/>
    </row>
    <row r="862" ht="15" customHeight="1">
      <c r="A862" t="inlineStr">
        <is>
          <t>A 56539-2022</t>
        </is>
      </c>
      <c r="B862" s="1" t="n">
        <v>44893.475</v>
      </c>
      <c r="C862" s="1" t="n">
        <v>46100</v>
      </c>
      <c r="D862" t="inlineStr">
        <is>
          <t>BLEKINGE LÄN</t>
        </is>
      </c>
      <c r="E862" t="inlineStr">
        <is>
          <t>KARLSKRONA</t>
        </is>
      </c>
      <c r="G862" t="n">
        <v>3</v>
      </c>
      <c r="H862" t="n">
        <v>0</v>
      </c>
      <c r="I862" t="n">
        <v>0</v>
      </c>
      <c r="J862" t="n">
        <v>0</v>
      </c>
      <c r="K862" t="n">
        <v>0</v>
      </c>
      <c r="L862" t="n">
        <v>0</v>
      </c>
      <c r="M862" t="n">
        <v>0</v>
      </c>
      <c r="N862" t="n">
        <v>0</v>
      </c>
      <c r="O862" t="n">
        <v>0</v>
      </c>
      <c r="P862" t="n">
        <v>0</v>
      </c>
      <c r="Q862" t="n">
        <v>0</v>
      </c>
      <c r="R862" s="2" t="inlineStr"/>
    </row>
    <row r="863" ht="15" customHeight="1">
      <c r="A863" t="inlineStr">
        <is>
          <t>A 61191-2025</t>
        </is>
      </c>
      <c r="B863" s="1" t="n">
        <v>46000.59715277778</v>
      </c>
      <c r="C863" s="1" t="n">
        <v>46100</v>
      </c>
      <c r="D863" t="inlineStr">
        <is>
          <t>BLEKINGE LÄN</t>
        </is>
      </c>
      <c r="E863" t="inlineStr">
        <is>
          <t>KARLSKRONA</t>
        </is>
      </c>
      <c r="G863" t="n">
        <v>1.3</v>
      </c>
      <c r="H863" t="n">
        <v>0</v>
      </c>
      <c r="I863" t="n">
        <v>0</v>
      </c>
      <c r="J863" t="n">
        <v>0</v>
      </c>
      <c r="K863" t="n">
        <v>0</v>
      </c>
      <c r="L863" t="n">
        <v>0</v>
      </c>
      <c r="M863" t="n">
        <v>0</v>
      </c>
      <c r="N863" t="n">
        <v>0</v>
      </c>
      <c r="O863" t="n">
        <v>0</v>
      </c>
      <c r="P863" t="n">
        <v>0</v>
      </c>
      <c r="Q863" t="n">
        <v>0</v>
      </c>
      <c r="R863" s="2" t="inlineStr"/>
    </row>
    <row r="864" ht="15" customHeight="1">
      <c r="A864" t="inlineStr">
        <is>
          <t>A 61596-2025</t>
        </is>
      </c>
      <c r="B864" s="1" t="n">
        <v>46002.35725694444</v>
      </c>
      <c r="C864" s="1" t="n">
        <v>46100</v>
      </c>
      <c r="D864" t="inlineStr">
        <is>
          <t>BLEKINGE LÄN</t>
        </is>
      </c>
      <c r="E864" t="inlineStr">
        <is>
          <t>KARLSKRONA</t>
        </is>
      </c>
      <c r="G864" t="n">
        <v>5.7</v>
      </c>
      <c r="H864" t="n">
        <v>0</v>
      </c>
      <c r="I864" t="n">
        <v>0</v>
      </c>
      <c r="J864" t="n">
        <v>0</v>
      </c>
      <c r="K864" t="n">
        <v>0</v>
      </c>
      <c r="L864" t="n">
        <v>0</v>
      </c>
      <c r="M864" t="n">
        <v>0</v>
      </c>
      <c r="N864" t="n">
        <v>0</v>
      </c>
      <c r="O864" t="n">
        <v>0</v>
      </c>
      <c r="P864" t="n">
        <v>0</v>
      </c>
      <c r="Q864" t="n">
        <v>0</v>
      </c>
      <c r="R864" s="2" t="inlineStr"/>
    </row>
    <row r="865" ht="15" customHeight="1">
      <c r="A865" t="inlineStr">
        <is>
          <t>A 61602-2025</t>
        </is>
      </c>
      <c r="B865" s="1" t="n">
        <v>46002.36429398148</v>
      </c>
      <c r="C865" s="1" t="n">
        <v>46100</v>
      </c>
      <c r="D865" t="inlineStr">
        <is>
          <t>BLEKINGE LÄN</t>
        </is>
      </c>
      <c r="E865" t="inlineStr">
        <is>
          <t>KARLSKRONA</t>
        </is>
      </c>
      <c r="G865" t="n">
        <v>2.2</v>
      </c>
      <c r="H865" t="n">
        <v>0</v>
      </c>
      <c r="I865" t="n">
        <v>0</v>
      </c>
      <c r="J865" t="n">
        <v>0</v>
      </c>
      <c r="K865" t="n">
        <v>0</v>
      </c>
      <c r="L865" t="n">
        <v>0</v>
      </c>
      <c r="M865" t="n">
        <v>0</v>
      </c>
      <c r="N865" t="n">
        <v>0</v>
      </c>
      <c r="O865" t="n">
        <v>0</v>
      </c>
      <c r="P865" t="n">
        <v>0</v>
      </c>
      <c r="Q865" t="n">
        <v>0</v>
      </c>
      <c r="R865" s="2" t="inlineStr"/>
    </row>
    <row r="866" ht="15" customHeight="1">
      <c r="A866" t="inlineStr">
        <is>
          <t>A 61603-2025</t>
        </is>
      </c>
      <c r="B866" s="1" t="n">
        <v>46002.36811342592</v>
      </c>
      <c r="C866" s="1" t="n">
        <v>46100</v>
      </c>
      <c r="D866" t="inlineStr">
        <is>
          <t>BLEKINGE LÄN</t>
        </is>
      </c>
      <c r="E866" t="inlineStr">
        <is>
          <t>KARLSKRONA</t>
        </is>
      </c>
      <c r="G866" t="n">
        <v>2.7</v>
      </c>
      <c r="H866" t="n">
        <v>0</v>
      </c>
      <c r="I866" t="n">
        <v>0</v>
      </c>
      <c r="J866" t="n">
        <v>0</v>
      </c>
      <c r="K866" t="n">
        <v>0</v>
      </c>
      <c r="L866" t="n">
        <v>0</v>
      </c>
      <c r="M866" t="n">
        <v>0</v>
      </c>
      <c r="N866" t="n">
        <v>0</v>
      </c>
      <c r="O866" t="n">
        <v>0</v>
      </c>
      <c r="P866" t="n">
        <v>0</v>
      </c>
      <c r="Q866" t="n">
        <v>0</v>
      </c>
      <c r="R866" s="2" t="inlineStr"/>
    </row>
    <row r="867" ht="15" customHeight="1">
      <c r="A867" t="inlineStr">
        <is>
          <t>A 62587-2025</t>
        </is>
      </c>
      <c r="B867" s="1" t="n">
        <v>46007.87877314815</v>
      </c>
      <c r="C867" s="1" t="n">
        <v>46100</v>
      </c>
      <c r="D867" t="inlineStr">
        <is>
          <t>BLEKINGE LÄN</t>
        </is>
      </c>
      <c r="E867" t="inlineStr">
        <is>
          <t>KARLSKRONA</t>
        </is>
      </c>
      <c r="G867" t="n">
        <v>1.1</v>
      </c>
      <c r="H867" t="n">
        <v>0</v>
      </c>
      <c r="I867" t="n">
        <v>0</v>
      </c>
      <c r="J867" t="n">
        <v>0</v>
      </c>
      <c r="K867" t="n">
        <v>0</v>
      </c>
      <c r="L867" t="n">
        <v>0</v>
      </c>
      <c r="M867" t="n">
        <v>0</v>
      </c>
      <c r="N867" t="n">
        <v>0</v>
      </c>
      <c r="O867" t="n">
        <v>0</v>
      </c>
      <c r="P867" t="n">
        <v>0</v>
      </c>
      <c r="Q867" t="n">
        <v>0</v>
      </c>
      <c r="R867" s="2" t="inlineStr"/>
    </row>
    <row r="868" ht="15" customHeight="1">
      <c r="A868" t="inlineStr">
        <is>
          <t>A 62594-2025</t>
        </is>
      </c>
      <c r="B868" s="1" t="n">
        <v>46007.89254629629</v>
      </c>
      <c r="C868" s="1" t="n">
        <v>46100</v>
      </c>
      <c r="D868" t="inlineStr">
        <is>
          <t>BLEKINGE LÄN</t>
        </is>
      </c>
      <c r="E868" t="inlineStr">
        <is>
          <t>KARLSKRONA</t>
        </is>
      </c>
      <c r="G868" t="n">
        <v>2.9</v>
      </c>
      <c r="H868" t="n">
        <v>0</v>
      </c>
      <c r="I868" t="n">
        <v>0</v>
      </c>
      <c r="J868" t="n">
        <v>0</v>
      </c>
      <c r="K868" t="n">
        <v>0</v>
      </c>
      <c r="L868" t="n">
        <v>0</v>
      </c>
      <c r="M868" t="n">
        <v>0</v>
      </c>
      <c r="N868" t="n">
        <v>0</v>
      </c>
      <c r="O868" t="n">
        <v>0</v>
      </c>
      <c r="P868" t="n">
        <v>0</v>
      </c>
      <c r="Q868" t="n">
        <v>0</v>
      </c>
      <c r="R868" s="2" t="inlineStr"/>
    </row>
    <row r="869" ht="15" customHeight="1">
      <c r="A869" t="inlineStr">
        <is>
          <t>A 62590-2025</t>
        </is>
      </c>
      <c r="B869" s="1" t="n">
        <v>46007.88675925926</v>
      </c>
      <c r="C869" s="1" t="n">
        <v>46100</v>
      </c>
      <c r="D869" t="inlineStr">
        <is>
          <t>BLEKINGE LÄN</t>
        </is>
      </c>
      <c r="E869" t="inlineStr">
        <is>
          <t>KARLSKRONA</t>
        </is>
      </c>
      <c r="G869" t="n">
        <v>2.9</v>
      </c>
      <c r="H869" t="n">
        <v>0</v>
      </c>
      <c r="I869" t="n">
        <v>0</v>
      </c>
      <c r="J869" t="n">
        <v>0</v>
      </c>
      <c r="K869" t="n">
        <v>0</v>
      </c>
      <c r="L869" t="n">
        <v>0</v>
      </c>
      <c r="M869" t="n">
        <v>0</v>
      </c>
      <c r="N869" t="n">
        <v>0</v>
      </c>
      <c r="O869" t="n">
        <v>0</v>
      </c>
      <c r="P869" t="n">
        <v>0</v>
      </c>
      <c r="Q869" t="n">
        <v>0</v>
      </c>
      <c r="R869" s="2" t="inlineStr"/>
    </row>
    <row r="870" ht="15" customHeight="1">
      <c r="A870" t="inlineStr">
        <is>
          <t>A 7194-2026</t>
        </is>
      </c>
      <c r="B870" s="1" t="n">
        <v>46058.50160879629</v>
      </c>
      <c r="C870" s="1" t="n">
        <v>46100</v>
      </c>
      <c r="D870" t="inlineStr">
        <is>
          <t>BLEKINGE LÄN</t>
        </is>
      </c>
      <c r="E870" t="inlineStr">
        <is>
          <t>KARLSKRONA</t>
        </is>
      </c>
      <c r="G870" t="n">
        <v>2.3</v>
      </c>
      <c r="H870" t="n">
        <v>0</v>
      </c>
      <c r="I870" t="n">
        <v>0</v>
      </c>
      <c r="J870" t="n">
        <v>0</v>
      </c>
      <c r="K870" t="n">
        <v>0</v>
      </c>
      <c r="L870" t="n">
        <v>0</v>
      </c>
      <c r="M870" t="n">
        <v>0</v>
      </c>
      <c r="N870" t="n">
        <v>0</v>
      </c>
      <c r="O870" t="n">
        <v>0</v>
      </c>
      <c r="P870" t="n">
        <v>0</v>
      </c>
      <c r="Q870" t="n">
        <v>0</v>
      </c>
      <c r="R870" s="2" t="inlineStr"/>
    </row>
    <row r="871" ht="15" customHeight="1">
      <c r="A871" t="inlineStr">
        <is>
          <t>A 7557-2026</t>
        </is>
      </c>
      <c r="B871" s="1" t="n">
        <v>46059.78087962963</v>
      </c>
      <c r="C871" s="1" t="n">
        <v>46100</v>
      </c>
      <c r="D871" t="inlineStr">
        <is>
          <t>BLEKINGE LÄN</t>
        </is>
      </c>
      <c r="E871" t="inlineStr">
        <is>
          <t>KARLSKRONA</t>
        </is>
      </c>
      <c r="G871" t="n">
        <v>1.9</v>
      </c>
      <c r="H871" t="n">
        <v>0</v>
      </c>
      <c r="I871" t="n">
        <v>0</v>
      </c>
      <c r="J871" t="n">
        <v>0</v>
      </c>
      <c r="K871" t="n">
        <v>0</v>
      </c>
      <c r="L871" t="n">
        <v>0</v>
      </c>
      <c r="M871" t="n">
        <v>0</v>
      </c>
      <c r="N871" t="n">
        <v>0</v>
      </c>
      <c r="O871" t="n">
        <v>0</v>
      </c>
      <c r="P871" t="n">
        <v>0</v>
      </c>
      <c r="Q871" t="n">
        <v>0</v>
      </c>
      <c r="R871" s="2" t="inlineStr"/>
    </row>
    <row r="872" ht="15" customHeight="1">
      <c r="A872" t="inlineStr">
        <is>
          <t>A 8365-2026</t>
        </is>
      </c>
      <c r="B872" s="1" t="n">
        <v>46064.68466435185</v>
      </c>
      <c r="C872" s="1" t="n">
        <v>46100</v>
      </c>
      <c r="D872" t="inlineStr">
        <is>
          <t>BLEKINGE LÄN</t>
        </is>
      </c>
      <c r="E872" t="inlineStr">
        <is>
          <t>KARLSKRONA</t>
        </is>
      </c>
      <c r="G872" t="n">
        <v>1.1</v>
      </c>
      <c r="H872" t="n">
        <v>0</v>
      </c>
      <c r="I872" t="n">
        <v>0</v>
      </c>
      <c r="J872" t="n">
        <v>0</v>
      </c>
      <c r="K872" t="n">
        <v>0</v>
      </c>
      <c r="L872" t="n">
        <v>0</v>
      </c>
      <c r="M872" t="n">
        <v>0</v>
      </c>
      <c r="N872" t="n">
        <v>0</v>
      </c>
      <c r="O872" t="n">
        <v>0</v>
      </c>
      <c r="P872" t="n">
        <v>0</v>
      </c>
      <c r="Q872" t="n">
        <v>0</v>
      </c>
      <c r="R872" s="2" t="inlineStr"/>
    </row>
    <row r="873" ht="15" customHeight="1">
      <c r="A873" t="inlineStr">
        <is>
          <t>A 8847-2026</t>
        </is>
      </c>
      <c r="B873" s="1" t="n">
        <v>46066</v>
      </c>
      <c r="C873" s="1" t="n">
        <v>46100</v>
      </c>
      <c r="D873" t="inlineStr">
        <is>
          <t>BLEKINGE LÄN</t>
        </is>
      </c>
      <c r="E873" t="inlineStr">
        <is>
          <t>KARLSKRONA</t>
        </is>
      </c>
      <c r="G873" t="n">
        <v>1.2</v>
      </c>
      <c r="H873" t="n">
        <v>0</v>
      </c>
      <c r="I873" t="n">
        <v>0</v>
      </c>
      <c r="J873" t="n">
        <v>0</v>
      </c>
      <c r="K873" t="n">
        <v>0</v>
      </c>
      <c r="L873" t="n">
        <v>0</v>
      </c>
      <c r="M873" t="n">
        <v>0</v>
      </c>
      <c r="N873" t="n">
        <v>0</v>
      </c>
      <c r="O873" t="n">
        <v>0</v>
      </c>
      <c r="P873" t="n">
        <v>0</v>
      </c>
      <c r="Q873" t="n">
        <v>0</v>
      </c>
      <c r="R873" s="2" t="inlineStr"/>
    </row>
    <row r="874" ht="15" customHeight="1">
      <c r="A874" t="inlineStr">
        <is>
          <t>A 344-2026</t>
        </is>
      </c>
      <c r="B874" s="1" t="n">
        <v>46027.61513888889</v>
      </c>
      <c r="C874" s="1" t="n">
        <v>46100</v>
      </c>
      <c r="D874" t="inlineStr">
        <is>
          <t>BLEKINGE LÄN</t>
        </is>
      </c>
      <c r="E874" t="inlineStr">
        <is>
          <t>KARLSKRONA</t>
        </is>
      </c>
      <c r="G874" t="n">
        <v>1.8</v>
      </c>
      <c r="H874" t="n">
        <v>0</v>
      </c>
      <c r="I874" t="n">
        <v>0</v>
      </c>
      <c r="J874" t="n">
        <v>0</v>
      </c>
      <c r="K874" t="n">
        <v>0</v>
      </c>
      <c r="L874" t="n">
        <v>0</v>
      </c>
      <c r="M874" t="n">
        <v>0</v>
      </c>
      <c r="N874" t="n">
        <v>0</v>
      </c>
      <c r="O874" t="n">
        <v>0</v>
      </c>
      <c r="P874" t="n">
        <v>0</v>
      </c>
      <c r="Q874" t="n">
        <v>0</v>
      </c>
      <c r="R874" s="2" t="inlineStr"/>
    </row>
    <row r="875" ht="15" customHeight="1">
      <c r="A875" t="inlineStr">
        <is>
          <t>A 9029-2026</t>
        </is>
      </c>
      <c r="B875" s="1" t="n">
        <v>46069.51390046296</v>
      </c>
      <c r="C875" s="1" t="n">
        <v>46100</v>
      </c>
      <c r="D875" t="inlineStr">
        <is>
          <t>BLEKINGE LÄN</t>
        </is>
      </c>
      <c r="E875" t="inlineStr">
        <is>
          <t>KARLSKRONA</t>
        </is>
      </c>
      <c r="G875" t="n">
        <v>0.6</v>
      </c>
      <c r="H875" t="n">
        <v>0</v>
      </c>
      <c r="I875" t="n">
        <v>0</v>
      </c>
      <c r="J875" t="n">
        <v>0</v>
      </c>
      <c r="K875" t="n">
        <v>0</v>
      </c>
      <c r="L875" t="n">
        <v>0</v>
      </c>
      <c r="M875" t="n">
        <v>0</v>
      </c>
      <c r="N875" t="n">
        <v>0</v>
      </c>
      <c r="O875" t="n">
        <v>0</v>
      </c>
      <c r="P875" t="n">
        <v>0</v>
      </c>
      <c r="Q875" t="n">
        <v>0</v>
      </c>
      <c r="R875" s="2" t="inlineStr"/>
    </row>
    <row r="876" ht="15" customHeight="1">
      <c r="A876" t="inlineStr">
        <is>
          <t>A 459-2026</t>
        </is>
      </c>
      <c r="B876" s="1" t="n">
        <v>46029.3747337963</v>
      </c>
      <c r="C876" s="1" t="n">
        <v>46100</v>
      </c>
      <c r="D876" t="inlineStr">
        <is>
          <t>BLEKINGE LÄN</t>
        </is>
      </c>
      <c r="E876" t="inlineStr">
        <is>
          <t>KARLSKRONA</t>
        </is>
      </c>
      <c r="G876" t="n">
        <v>1.7</v>
      </c>
      <c r="H876" t="n">
        <v>0</v>
      </c>
      <c r="I876" t="n">
        <v>0</v>
      </c>
      <c r="J876" t="n">
        <v>0</v>
      </c>
      <c r="K876" t="n">
        <v>0</v>
      </c>
      <c r="L876" t="n">
        <v>0</v>
      </c>
      <c r="M876" t="n">
        <v>0</v>
      </c>
      <c r="N876" t="n">
        <v>0</v>
      </c>
      <c r="O876" t="n">
        <v>0</v>
      </c>
      <c r="P876" t="n">
        <v>0</v>
      </c>
      <c r="Q876" t="n">
        <v>0</v>
      </c>
      <c r="R876" s="2" t="inlineStr"/>
    </row>
    <row r="877" ht="15" customHeight="1">
      <c r="A877" t="inlineStr">
        <is>
          <t>A 9379-2026</t>
        </is>
      </c>
      <c r="B877" s="1" t="n">
        <v>46070.93134259259</v>
      </c>
      <c r="C877" s="1" t="n">
        <v>46100</v>
      </c>
      <c r="D877" t="inlineStr">
        <is>
          <t>BLEKINGE LÄN</t>
        </is>
      </c>
      <c r="E877" t="inlineStr">
        <is>
          <t>KARLSKRONA</t>
        </is>
      </c>
      <c r="G877" t="n">
        <v>1.7</v>
      </c>
      <c r="H877" t="n">
        <v>0</v>
      </c>
      <c r="I877" t="n">
        <v>0</v>
      </c>
      <c r="J877" t="n">
        <v>0</v>
      </c>
      <c r="K877" t="n">
        <v>0</v>
      </c>
      <c r="L877" t="n">
        <v>0</v>
      </c>
      <c r="M877" t="n">
        <v>0</v>
      </c>
      <c r="N877" t="n">
        <v>0</v>
      </c>
      <c r="O877" t="n">
        <v>0</v>
      </c>
      <c r="P877" t="n">
        <v>0</v>
      </c>
      <c r="Q877" t="n">
        <v>0</v>
      </c>
      <c r="R877" s="2" t="inlineStr"/>
    </row>
    <row r="878" ht="15" customHeight="1">
      <c r="A878" t="inlineStr">
        <is>
          <t>A 9380-2026</t>
        </is>
      </c>
      <c r="B878" s="1" t="n">
        <v>46070.93451388889</v>
      </c>
      <c r="C878" s="1" t="n">
        <v>46100</v>
      </c>
      <c r="D878" t="inlineStr">
        <is>
          <t>BLEKINGE LÄN</t>
        </is>
      </c>
      <c r="E878" t="inlineStr">
        <is>
          <t>KARLSKRONA</t>
        </is>
      </c>
      <c r="G878" t="n">
        <v>0.8</v>
      </c>
      <c r="H878" t="n">
        <v>0</v>
      </c>
      <c r="I878" t="n">
        <v>0</v>
      </c>
      <c r="J878" t="n">
        <v>0</v>
      </c>
      <c r="K878" t="n">
        <v>0</v>
      </c>
      <c r="L878" t="n">
        <v>0</v>
      </c>
      <c r="M878" t="n">
        <v>0</v>
      </c>
      <c r="N878" t="n">
        <v>0</v>
      </c>
      <c r="O878" t="n">
        <v>0</v>
      </c>
      <c r="P878" t="n">
        <v>0</v>
      </c>
      <c r="Q878" t="n">
        <v>0</v>
      </c>
      <c r="R878" s="2" t="inlineStr"/>
    </row>
    <row r="879" ht="15" customHeight="1">
      <c r="A879" t="inlineStr">
        <is>
          <t>A 1231-2026</t>
        </is>
      </c>
      <c r="B879" s="1" t="n">
        <v>46031.40931712963</v>
      </c>
      <c r="C879" s="1" t="n">
        <v>46100</v>
      </c>
      <c r="D879" t="inlineStr">
        <is>
          <t>BLEKINGE LÄN</t>
        </is>
      </c>
      <c r="E879" t="inlineStr">
        <is>
          <t>KARLSKRONA</t>
        </is>
      </c>
      <c r="G879" t="n">
        <v>1.2</v>
      </c>
      <c r="H879" t="n">
        <v>0</v>
      </c>
      <c r="I879" t="n">
        <v>0</v>
      </c>
      <c r="J879" t="n">
        <v>0</v>
      </c>
      <c r="K879" t="n">
        <v>0</v>
      </c>
      <c r="L879" t="n">
        <v>0</v>
      </c>
      <c r="M879" t="n">
        <v>0</v>
      </c>
      <c r="N879" t="n">
        <v>0</v>
      </c>
      <c r="O879" t="n">
        <v>0</v>
      </c>
      <c r="P879" t="n">
        <v>0</v>
      </c>
      <c r="Q879" t="n">
        <v>0</v>
      </c>
      <c r="R879" s="2" t="inlineStr"/>
    </row>
    <row r="880" ht="15" customHeight="1">
      <c r="A880" t="inlineStr">
        <is>
          <t>A 1216-2026</t>
        </is>
      </c>
      <c r="B880" s="1" t="n">
        <v>46030</v>
      </c>
      <c r="C880" s="1" t="n">
        <v>46100</v>
      </c>
      <c r="D880" t="inlineStr">
        <is>
          <t>BLEKINGE LÄN</t>
        </is>
      </c>
      <c r="E880" t="inlineStr">
        <is>
          <t>KARLSKRONA</t>
        </is>
      </c>
      <c r="G880" t="n">
        <v>1.3</v>
      </c>
      <c r="H880" t="n">
        <v>0</v>
      </c>
      <c r="I880" t="n">
        <v>0</v>
      </c>
      <c r="J880" t="n">
        <v>0</v>
      </c>
      <c r="K880" t="n">
        <v>0</v>
      </c>
      <c r="L880" t="n">
        <v>0</v>
      </c>
      <c r="M880" t="n">
        <v>0</v>
      </c>
      <c r="N880" t="n">
        <v>0</v>
      </c>
      <c r="O880" t="n">
        <v>0</v>
      </c>
      <c r="P880" t="n">
        <v>0</v>
      </c>
      <c r="Q880" t="n">
        <v>0</v>
      </c>
      <c r="R880" s="2" t="inlineStr"/>
    </row>
    <row r="881" ht="15" customHeight="1">
      <c r="A881" t="inlineStr">
        <is>
          <t>A 10621-2026</t>
        </is>
      </c>
      <c r="B881" s="1" t="n">
        <v>46077.92456018519</v>
      </c>
      <c r="C881" s="1" t="n">
        <v>46100</v>
      </c>
      <c r="D881" t="inlineStr">
        <is>
          <t>BLEKINGE LÄN</t>
        </is>
      </c>
      <c r="E881" t="inlineStr">
        <is>
          <t>KARLSKRONA</t>
        </is>
      </c>
      <c r="G881" t="n">
        <v>1.3</v>
      </c>
      <c r="H881" t="n">
        <v>0</v>
      </c>
      <c r="I881" t="n">
        <v>0</v>
      </c>
      <c r="J881" t="n">
        <v>0</v>
      </c>
      <c r="K881" t="n">
        <v>0</v>
      </c>
      <c r="L881" t="n">
        <v>0</v>
      </c>
      <c r="M881" t="n">
        <v>0</v>
      </c>
      <c r="N881" t="n">
        <v>0</v>
      </c>
      <c r="O881" t="n">
        <v>0</v>
      </c>
      <c r="P881" t="n">
        <v>0</v>
      </c>
      <c r="Q881" t="n">
        <v>0</v>
      </c>
      <c r="R881" s="2" t="inlineStr"/>
    </row>
    <row r="882" ht="15" customHeight="1">
      <c r="A882" t="inlineStr">
        <is>
          <t>A 9033-2026</t>
        </is>
      </c>
      <c r="B882" s="1" t="n">
        <v>46069</v>
      </c>
      <c r="C882" s="1" t="n">
        <v>46100</v>
      </c>
      <c r="D882" t="inlineStr">
        <is>
          <t>BLEKINGE LÄN</t>
        </is>
      </c>
      <c r="E882" t="inlineStr">
        <is>
          <t>KARLSKRONA</t>
        </is>
      </c>
      <c r="G882" t="n">
        <v>0.7</v>
      </c>
      <c r="H882" t="n">
        <v>0</v>
      </c>
      <c r="I882" t="n">
        <v>0</v>
      </c>
      <c r="J882" t="n">
        <v>0</v>
      </c>
      <c r="K882" t="n">
        <v>0</v>
      </c>
      <c r="L882" t="n">
        <v>0</v>
      </c>
      <c r="M882" t="n">
        <v>0</v>
      </c>
      <c r="N882" t="n">
        <v>0</v>
      </c>
      <c r="O882" t="n">
        <v>0</v>
      </c>
      <c r="P882" t="n">
        <v>0</v>
      </c>
      <c r="Q882" t="n">
        <v>0</v>
      </c>
      <c r="R882" s="2" t="inlineStr"/>
    </row>
    <row r="883" ht="15" customHeight="1">
      <c r="A883" t="inlineStr">
        <is>
          <t>A 2721-2026</t>
        </is>
      </c>
      <c r="B883" s="1" t="n">
        <v>46037.80730324074</v>
      </c>
      <c r="C883" s="1" t="n">
        <v>46100</v>
      </c>
      <c r="D883" t="inlineStr">
        <is>
          <t>BLEKINGE LÄN</t>
        </is>
      </c>
      <c r="E883" t="inlineStr">
        <is>
          <t>KARLSKRONA</t>
        </is>
      </c>
      <c r="G883" t="n">
        <v>0.9</v>
      </c>
      <c r="H883" t="n">
        <v>0</v>
      </c>
      <c r="I883" t="n">
        <v>0</v>
      </c>
      <c r="J883" t="n">
        <v>0</v>
      </c>
      <c r="K883" t="n">
        <v>0</v>
      </c>
      <c r="L883" t="n">
        <v>0</v>
      </c>
      <c r="M883" t="n">
        <v>0</v>
      </c>
      <c r="N883" t="n">
        <v>0</v>
      </c>
      <c r="O883" t="n">
        <v>0</v>
      </c>
      <c r="P883" t="n">
        <v>0</v>
      </c>
      <c r="Q883" t="n">
        <v>0</v>
      </c>
      <c r="R883" s="2" t="inlineStr"/>
    </row>
    <row r="884" ht="15" customHeight="1">
      <c r="A884" t="inlineStr">
        <is>
          <t>A 3475-2026</t>
        </is>
      </c>
      <c r="B884" s="1" t="n">
        <v>46042.54811342592</v>
      </c>
      <c r="C884" s="1" t="n">
        <v>46100</v>
      </c>
      <c r="D884" t="inlineStr">
        <is>
          <t>BLEKINGE LÄN</t>
        </is>
      </c>
      <c r="E884" t="inlineStr">
        <is>
          <t>KARLSKRONA</t>
        </is>
      </c>
      <c r="G884" t="n">
        <v>6.4</v>
      </c>
      <c r="H884" t="n">
        <v>0</v>
      </c>
      <c r="I884" t="n">
        <v>0</v>
      </c>
      <c r="J884" t="n">
        <v>0</v>
      </c>
      <c r="K884" t="n">
        <v>0</v>
      </c>
      <c r="L884" t="n">
        <v>0</v>
      </c>
      <c r="M884" t="n">
        <v>0</v>
      </c>
      <c r="N884" t="n">
        <v>0</v>
      </c>
      <c r="O884" t="n">
        <v>0</v>
      </c>
      <c r="P884" t="n">
        <v>0</v>
      </c>
      <c r="Q884" t="n">
        <v>0</v>
      </c>
      <c r="R884" s="2" t="inlineStr"/>
    </row>
    <row r="885" ht="15" customHeight="1">
      <c r="A885" t="inlineStr">
        <is>
          <t>A 11543-2026</t>
        </is>
      </c>
      <c r="B885" s="1" t="n">
        <v>46083.90482638889</v>
      </c>
      <c r="C885" s="1" t="n">
        <v>46100</v>
      </c>
      <c r="D885" t="inlineStr">
        <is>
          <t>BLEKINGE LÄN</t>
        </is>
      </c>
      <c r="E885" t="inlineStr">
        <is>
          <t>KARLSKRONA</t>
        </is>
      </c>
      <c r="G885" t="n">
        <v>5.2</v>
      </c>
      <c r="H885" t="n">
        <v>0</v>
      </c>
      <c r="I885" t="n">
        <v>0</v>
      </c>
      <c r="J885" t="n">
        <v>0</v>
      </c>
      <c r="K885" t="n">
        <v>0</v>
      </c>
      <c r="L885" t="n">
        <v>0</v>
      </c>
      <c r="M885" t="n">
        <v>0</v>
      </c>
      <c r="N885" t="n">
        <v>0</v>
      </c>
      <c r="O885" t="n">
        <v>0</v>
      </c>
      <c r="P885" t="n">
        <v>0</v>
      </c>
      <c r="Q885" t="n">
        <v>0</v>
      </c>
      <c r="R885" s="2" t="inlineStr"/>
    </row>
    <row r="886" ht="15" customHeight="1">
      <c r="A886" t="inlineStr">
        <is>
          <t>A 3429-2026</t>
        </is>
      </c>
      <c r="B886" s="1" t="n">
        <v>46042</v>
      </c>
      <c r="C886" s="1" t="n">
        <v>46100</v>
      </c>
      <c r="D886" t="inlineStr">
        <is>
          <t>BLEKINGE LÄN</t>
        </is>
      </c>
      <c r="E886" t="inlineStr">
        <is>
          <t>KARLSKRONA</t>
        </is>
      </c>
      <c r="G886" t="n">
        <v>1.7</v>
      </c>
      <c r="H886" t="n">
        <v>0</v>
      </c>
      <c r="I886" t="n">
        <v>0</v>
      </c>
      <c r="J886" t="n">
        <v>0</v>
      </c>
      <c r="K886" t="n">
        <v>0</v>
      </c>
      <c r="L886" t="n">
        <v>0</v>
      </c>
      <c r="M886" t="n">
        <v>0</v>
      </c>
      <c r="N886" t="n">
        <v>0</v>
      </c>
      <c r="O886" t="n">
        <v>0</v>
      </c>
      <c r="P886" t="n">
        <v>0</v>
      </c>
      <c r="Q886" t="n">
        <v>0</v>
      </c>
      <c r="R886" s="2" t="inlineStr"/>
    </row>
    <row r="887" ht="15" customHeight="1">
      <c r="A887" t="inlineStr">
        <is>
          <t>A 3452-2026</t>
        </is>
      </c>
      <c r="B887" s="1" t="n">
        <v>46042.49659722222</v>
      </c>
      <c r="C887" s="1" t="n">
        <v>46100</v>
      </c>
      <c r="D887" t="inlineStr">
        <is>
          <t>BLEKINGE LÄN</t>
        </is>
      </c>
      <c r="E887" t="inlineStr">
        <is>
          <t>KARLSKRONA</t>
        </is>
      </c>
      <c r="G887" t="n">
        <v>3.5</v>
      </c>
      <c r="H887" t="n">
        <v>0</v>
      </c>
      <c r="I887" t="n">
        <v>0</v>
      </c>
      <c r="J887" t="n">
        <v>0</v>
      </c>
      <c r="K887" t="n">
        <v>0</v>
      </c>
      <c r="L887" t="n">
        <v>0</v>
      </c>
      <c r="M887" t="n">
        <v>0</v>
      </c>
      <c r="N887" t="n">
        <v>0</v>
      </c>
      <c r="O887" t="n">
        <v>0</v>
      </c>
      <c r="P887" t="n">
        <v>0</v>
      </c>
      <c r="Q887" t="n">
        <v>0</v>
      </c>
      <c r="R887" s="2" t="inlineStr"/>
    </row>
    <row r="888" ht="15" customHeight="1">
      <c r="A888" t="inlineStr">
        <is>
          <t>A 3455-2026</t>
        </is>
      </c>
      <c r="B888" s="1" t="n">
        <v>46042</v>
      </c>
      <c r="C888" s="1" t="n">
        <v>46100</v>
      </c>
      <c r="D888" t="inlineStr">
        <is>
          <t>BLEKINGE LÄN</t>
        </is>
      </c>
      <c r="E888" t="inlineStr">
        <is>
          <t>KARLSKRONA</t>
        </is>
      </c>
      <c r="G888" t="n">
        <v>0.6</v>
      </c>
      <c r="H888" t="n">
        <v>0</v>
      </c>
      <c r="I888" t="n">
        <v>0</v>
      </c>
      <c r="J888" t="n">
        <v>0</v>
      </c>
      <c r="K888" t="n">
        <v>0</v>
      </c>
      <c r="L888" t="n">
        <v>0</v>
      </c>
      <c r="M888" t="n">
        <v>0</v>
      </c>
      <c r="N888" t="n">
        <v>0</v>
      </c>
      <c r="O888" t="n">
        <v>0</v>
      </c>
      <c r="P888" t="n">
        <v>0</v>
      </c>
      <c r="Q888" t="n">
        <v>0</v>
      </c>
      <c r="R888" s="2" t="inlineStr"/>
    </row>
    <row r="889" ht="15" customHeight="1">
      <c r="A889" t="inlineStr">
        <is>
          <t>A 12026-2026</t>
        </is>
      </c>
      <c r="B889" s="1" t="n">
        <v>46085.84503472222</v>
      </c>
      <c r="C889" s="1" t="n">
        <v>46100</v>
      </c>
      <c r="D889" t="inlineStr">
        <is>
          <t>BLEKINGE LÄN</t>
        </is>
      </c>
      <c r="E889" t="inlineStr">
        <is>
          <t>KARLSKRONA</t>
        </is>
      </c>
      <c r="G889" t="n">
        <v>1.8</v>
      </c>
      <c r="H889" t="n">
        <v>0</v>
      </c>
      <c r="I889" t="n">
        <v>0</v>
      </c>
      <c r="J889" t="n">
        <v>0</v>
      </c>
      <c r="K889" t="n">
        <v>0</v>
      </c>
      <c r="L889" t="n">
        <v>0</v>
      </c>
      <c r="M889" t="n">
        <v>0</v>
      </c>
      <c r="N889" t="n">
        <v>0</v>
      </c>
      <c r="O889" t="n">
        <v>0</v>
      </c>
      <c r="P889" t="n">
        <v>0</v>
      </c>
      <c r="Q889" t="n">
        <v>0</v>
      </c>
      <c r="R889" s="2" t="inlineStr"/>
    </row>
    <row r="890" ht="15" customHeight="1">
      <c r="A890" t="inlineStr">
        <is>
          <t>A 12230-2026</t>
        </is>
      </c>
      <c r="B890" s="1" t="n">
        <v>46087.39640046296</v>
      </c>
      <c r="C890" s="1" t="n">
        <v>46100</v>
      </c>
      <c r="D890" t="inlineStr">
        <is>
          <t>BLEKINGE LÄN</t>
        </is>
      </c>
      <c r="E890" t="inlineStr">
        <is>
          <t>KARLSKRONA</t>
        </is>
      </c>
      <c r="F890" t="inlineStr">
        <is>
          <t>Kommuner</t>
        </is>
      </c>
      <c r="G890" t="n">
        <v>1.7</v>
      </c>
      <c r="H890" t="n">
        <v>0</v>
      </c>
      <c r="I890" t="n">
        <v>0</v>
      </c>
      <c r="J890" t="n">
        <v>0</v>
      </c>
      <c r="K890" t="n">
        <v>0</v>
      </c>
      <c r="L890" t="n">
        <v>0</v>
      </c>
      <c r="M890" t="n">
        <v>0</v>
      </c>
      <c r="N890" t="n">
        <v>0</v>
      </c>
      <c r="O890" t="n">
        <v>0</v>
      </c>
      <c r="P890" t="n">
        <v>0</v>
      </c>
      <c r="Q890" t="n">
        <v>0</v>
      </c>
      <c r="R890" s="2" t="inlineStr"/>
    </row>
    <row r="891" ht="15" customHeight="1">
      <c r="A891" t="inlineStr">
        <is>
          <t>A 5132-2026</t>
        </is>
      </c>
      <c r="B891" s="1" t="n">
        <v>46049.59381944445</v>
      </c>
      <c r="C891" s="1" t="n">
        <v>46100</v>
      </c>
      <c r="D891" t="inlineStr">
        <is>
          <t>BLEKINGE LÄN</t>
        </is>
      </c>
      <c r="E891" t="inlineStr">
        <is>
          <t>KARLSKRONA</t>
        </is>
      </c>
      <c r="G891" t="n">
        <v>3</v>
      </c>
      <c r="H891" t="n">
        <v>0</v>
      </c>
      <c r="I891" t="n">
        <v>0</v>
      </c>
      <c r="J891" t="n">
        <v>0</v>
      </c>
      <c r="K891" t="n">
        <v>0</v>
      </c>
      <c r="L891" t="n">
        <v>0</v>
      </c>
      <c r="M891" t="n">
        <v>0</v>
      </c>
      <c r="N891" t="n">
        <v>0</v>
      </c>
      <c r="O891" t="n">
        <v>0</v>
      </c>
      <c r="P891" t="n">
        <v>0</v>
      </c>
      <c r="Q891" t="n">
        <v>0</v>
      </c>
      <c r="R891" s="2" t="inlineStr"/>
    </row>
    <row r="892" ht="15" customHeight="1">
      <c r="A892" t="inlineStr">
        <is>
          <t>A 4865-2026</t>
        </is>
      </c>
      <c r="B892" s="1" t="n">
        <v>46048.64267361111</v>
      </c>
      <c r="C892" s="1" t="n">
        <v>46100</v>
      </c>
      <c r="D892" t="inlineStr">
        <is>
          <t>BLEKINGE LÄN</t>
        </is>
      </c>
      <c r="E892" t="inlineStr">
        <is>
          <t>KARLSKRONA</t>
        </is>
      </c>
      <c r="G892" t="n">
        <v>2.6</v>
      </c>
      <c r="H892" t="n">
        <v>0</v>
      </c>
      <c r="I892" t="n">
        <v>0</v>
      </c>
      <c r="J892" t="n">
        <v>0</v>
      </c>
      <c r="K892" t="n">
        <v>0</v>
      </c>
      <c r="L892" t="n">
        <v>0</v>
      </c>
      <c r="M892" t="n">
        <v>0</v>
      </c>
      <c r="N892" t="n">
        <v>0</v>
      </c>
      <c r="O892" t="n">
        <v>0</v>
      </c>
      <c r="P892" t="n">
        <v>0</v>
      </c>
      <c r="Q892" t="n">
        <v>0</v>
      </c>
      <c r="R892" s="2" t="inlineStr"/>
    </row>
    <row r="893" ht="15" customHeight="1">
      <c r="A893" t="inlineStr">
        <is>
          <t>A 4835-2026</t>
        </is>
      </c>
      <c r="B893" s="1" t="n">
        <v>46048.60737268518</v>
      </c>
      <c r="C893" s="1" t="n">
        <v>46100</v>
      </c>
      <c r="D893" t="inlineStr">
        <is>
          <t>BLEKINGE LÄN</t>
        </is>
      </c>
      <c r="E893" t="inlineStr">
        <is>
          <t>KARLSKRONA</t>
        </is>
      </c>
      <c r="G893" t="n">
        <v>5.6</v>
      </c>
      <c r="H893" t="n">
        <v>0</v>
      </c>
      <c r="I893" t="n">
        <v>0</v>
      </c>
      <c r="J893" t="n">
        <v>0</v>
      </c>
      <c r="K893" t="n">
        <v>0</v>
      </c>
      <c r="L893" t="n">
        <v>0</v>
      </c>
      <c r="M893" t="n">
        <v>0</v>
      </c>
      <c r="N893" t="n">
        <v>0</v>
      </c>
      <c r="O893" t="n">
        <v>0</v>
      </c>
      <c r="P893" t="n">
        <v>0</v>
      </c>
      <c r="Q893" t="n">
        <v>0</v>
      </c>
      <c r="R893" s="2" t="inlineStr"/>
    </row>
    <row r="894" ht="15" customHeight="1">
      <c r="A894" t="inlineStr">
        <is>
          <t>A 4836-2026</t>
        </is>
      </c>
      <c r="B894" s="1" t="n">
        <v>46048.6109375</v>
      </c>
      <c r="C894" s="1" t="n">
        <v>46100</v>
      </c>
      <c r="D894" t="inlineStr">
        <is>
          <t>BLEKINGE LÄN</t>
        </is>
      </c>
      <c r="E894" t="inlineStr">
        <is>
          <t>KARLSKRONA</t>
        </is>
      </c>
      <c r="G894" t="n">
        <v>0.9</v>
      </c>
      <c r="H894" t="n">
        <v>0</v>
      </c>
      <c r="I894" t="n">
        <v>0</v>
      </c>
      <c r="J894" t="n">
        <v>0</v>
      </c>
      <c r="K894" t="n">
        <v>0</v>
      </c>
      <c r="L894" t="n">
        <v>0</v>
      </c>
      <c r="M894" t="n">
        <v>0</v>
      </c>
      <c r="N894" t="n">
        <v>0</v>
      </c>
      <c r="O894" t="n">
        <v>0</v>
      </c>
      <c r="P894" t="n">
        <v>0</v>
      </c>
      <c r="Q894" t="n">
        <v>0</v>
      </c>
      <c r="R894" s="2" t="inlineStr"/>
    </row>
    <row r="895" ht="15" customHeight="1">
      <c r="A895" t="inlineStr">
        <is>
          <t>A 4869-2026</t>
        </is>
      </c>
      <c r="B895" s="1" t="n">
        <v>46048.64427083333</v>
      </c>
      <c r="C895" s="1" t="n">
        <v>46100</v>
      </c>
      <c r="D895" t="inlineStr">
        <is>
          <t>BLEKINGE LÄN</t>
        </is>
      </c>
      <c r="E895" t="inlineStr">
        <is>
          <t>KARLSKRONA</t>
        </is>
      </c>
      <c r="G895" t="n">
        <v>3</v>
      </c>
      <c r="H895" t="n">
        <v>0</v>
      </c>
      <c r="I895" t="n">
        <v>0</v>
      </c>
      <c r="J895" t="n">
        <v>0</v>
      </c>
      <c r="K895" t="n">
        <v>0</v>
      </c>
      <c r="L895" t="n">
        <v>0</v>
      </c>
      <c r="M895" t="n">
        <v>0</v>
      </c>
      <c r="N895" t="n">
        <v>0</v>
      </c>
      <c r="O895" t="n">
        <v>0</v>
      </c>
      <c r="P895" t="n">
        <v>0</v>
      </c>
      <c r="Q895" t="n">
        <v>0</v>
      </c>
      <c r="R895" s="2" t="inlineStr"/>
    </row>
    <row r="896" ht="15" customHeight="1">
      <c r="A896" t="inlineStr">
        <is>
          <t>A 5799-2026</t>
        </is>
      </c>
      <c r="B896" s="1" t="n">
        <v>46051</v>
      </c>
      <c r="C896" s="1" t="n">
        <v>46100</v>
      </c>
      <c r="D896" t="inlineStr">
        <is>
          <t>BLEKINGE LÄN</t>
        </is>
      </c>
      <c r="E896" t="inlineStr">
        <is>
          <t>KARLSKRONA</t>
        </is>
      </c>
      <c r="G896" t="n">
        <v>0.6</v>
      </c>
      <c r="H896" t="n">
        <v>0</v>
      </c>
      <c r="I896" t="n">
        <v>0</v>
      </c>
      <c r="J896" t="n">
        <v>0</v>
      </c>
      <c r="K896" t="n">
        <v>0</v>
      </c>
      <c r="L896" t="n">
        <v>0</v>
      </c>
      <c r="M896" t="n">
        <v>0</v>
      </c>
      <c r="N896" t="n">
        <v>0</v>
      </c>
      <c r="O896" t="n">
        <v>0</v>
      </c>
      <c r="P896" t="n">
        <v>0</v>
      </c>
      <c r="Q896" t="n">
        <v>0</v>
      </c>
      <c r="R896" s="2" t="inlineStr"/>
    </row>
    <row r="897" ht="15" customHeight="1">
      <c r="A897" t="inlineStr">
        <is>
          <t>A 5801-2026</t>
        </is>
      </c>
      <c r="B897" s="1" t="n">
        <v>46051</v>
      </c>
      <c r="C897" s="1" t="n">
        <v>46100</v>
      </c>
      <c r="D897" t="inlineStr">
        <is>
          <t>BLEKINGE LÄN</t>
        </is>
      </c>
      <c r="E897" t="inlineStr">
        <is>
          <t>KARLSKRONA</t>
        </is>
      </c>
      <c r="G897" t="n">
        <v>7.1</v>
      </c>
      <c r="H897" t="n">
        <v>0</v>
      </c>
      <c r="I897" t="n">
        <v>0</v>
      </c>
      <c r="J897" t="n">
        <v>0</v>
      </c>
      <c r="K897" t="n">
        <v>0</v>
      </c>
      <c r="L897" t="n">
        <v>0</v>
      </c>
      <c r="M897" t="n">
        <v>0</v>
      </c>
      <c r="N897" t="n">
        <v>0</v>
      </c>
      <c r="O897" t="n">
        <v>0</v>
      </c>
      <c r="P897" t="n">
        <v>0</v>
      </c>
      <c r="Q897" t="n">
        <v>0</v>
      </c>
      <c r="R897" s="2" t="inlineStr"/>
    </row>
    <row r="898" ht="15" customHeight="1">
      <c r="A898" t="inlineStr">
        <is>
          <t>A 12852-2026</t>
        </is>
      </c>
      <c r="B898" s="1" t="n">
        <v>46092.47247685185</v>
      </c>
      <c r="C898" s="1" t="n">
        <v>46100</v>
      </c>
      <c r="D898" t="inlineStr">
        <is>
          <t>BLEKINGE LÄN</t>
        </is>
      </c>
      <c r="E898" t="inlineStr">
        <is>
          <t>KARLSKRONA</t>
        </is>
      </c>
      <c r="F898" t="inlineStr">
        <is>
          <t>Kommuner</t>
        </is>
      </c>
      <c r="G898" t="n">
        <v>4</v>
      </c>
      <c r="H898" t="n">
        <v>0</v>
      </c>
      <c r="I898" t="n">
        <v>0</v>
      </c>
      <c r="J898" t="n">
        <v>0</v>
      </c>
      <c r="K898" t="n">
        <v>0</v>
      </c>
      <c r="L898" t="n">
        <v>0</v>
      </c>
      <c r="M898" t="n">
        <v>0</v>
      </c>
      <c r="N898" t="n">
        <v>0</v>
      </c>
      <c r="O898" t="n">
        <v>0</v>
      </c>
      <c r="P898" t="n">
        <v>0</v>
      </c>
      <c r="Q898" t="n">
        <v>0</v>
      </c>
      <c r="R898" s="2" t="inlineStr"/>
    </row>
    <row r="899" ht="15" customHeight="1">
      <c r="A899" t="inlineStr">
        <is>
          <t>A 13139-2026</t>
        </is>
      </c>
      <c r="B899" s="1" t="n">
        <v>46093.50725694445</v>
      </c>
      <c r="C899" s="1" t="n">
        <v>46100</v>
      </c>
      <c r="D899" t="inlineStr">
        <is>
          <t>BLEKINGE LÄN</t>
        </is>
      </c>
      <c r="E899" t="inlineStr">
        <is>
          <t>KARLSKRONA</t>
        </is>
      </c>
      <c r="G899" t="n">
        <v>1.5</v>
      </c>
      <c r="H899" t="n">
        <v>0</v>
      </c>
      <c r="I899" t="n">
        <v>0</v>
      </c>
      <c r="J899" t="n">
        <v>0</v>
      </c>
      <c r="K899" t="n">
        <v>0</v>
      </c>
      <c r="L899" t="n">
        <v>0</v>
      </c>
      <c r="M899" t="n">
        <v>0</v>
      </c>
      <c r="N899" t="n">
        <v>0</v>
      </c>
      <c r="O899" t="n">
        <v>0</v>
      </c>
      <c r="P899" t="n">
        <v>0</v>
      </c>
      <c r="Q899" t="n">
        <v>0</v>
      </c>
      <c r="R899" s="2" t="inlineStr"/>
    </row>
    <row r="900" ht="15" customHeight="1">
      <c r="A900" t="inlineStr">
        <is>
          <t>A 5802-2026</t>
        </is>
      </c>
      <c r="B900" s="1" t="n">
        <v>46051</v>
      </c>
      <c r="C900" s="1" t="n">
        <v>46100</v>
      </c>
      <c r="D900" t="inlineStr">
        <is>
          <t>BLEKINGE LÄN</t>
        </is>
      </c>
      <c r="E900" t="inlineStr">
        <is>
          <t>KARLSKRONA</t>
        </is>
      </c>
      <c r="G900" t="n">
        <v>2.2</v>
      </c>
      <c r="H900" t="n">
        <v>0</v>
      </c>
      <c r="I900" t="n">
        <v>0</v>
      </c>
      <c r="J900" t="n">
        <v>0</v>
      </c>
      <c r="K900" t="n">
        <v>0</v>
      </c>
      <c r="L900" t="n">
        <v>0</v>
      </c>
      <c r="M900" t="n">
        <v>0</v>
      </c>
      <c r="N900" t="n">
        <v>0</v>
      </c>
      <c r="O900" t="n">
        <v>0</v>
      </c>
      <c r="P900" t="n">
        <v>0</v>
      </c>
      <c r="Q900" t="n">
        <v>0</v>
      </c>
      <c r="R900" s="2" t="inlineStr"/>
    </row>
    <row r="901" ht="15" customHeight="1">
      <c r="A901" t="inlineStr">
        <is>
          <t>A 13140-2026</t>
        </is>
      </c>
      <c r="B901" s="1" t="n">
        <v>46093</v>
      </c>
      <c r="C901" s="1" t="n">
        <v>46100</v>
      </c>
      <c r="D901" t="inlineStr">
        <is>
          <t>BLEKINGE LÄN</t>
        </is>
      </c>
      <c r="E901" t="inlineStr">
        <is>
          <t>KARLSKRONA</t>
        </is>
      </c>
      <c r="G901" t="n">
        <v>0.5</v>
      </c>
      <c r="H901" t="n">
        <v>0</v>
      </c>
      <c r="I901" t="n">
        <v>0</v>
      </c>
      <c r="J901" t="n">
        <v>0</v>
      </c>
      <c r="K901" t="n">
        <v>0</v>
      </c>
      <c r="L901" t="n">
        <v>0</v>
      </c>
      <c r="M901" t="n">
        <v>0</v>
      </c>
      <c r="N901" t="n">
        <v>0</v>
      </c>
      <c r="O901" t="n">
        <v>0</v>
      </c>
      <c r="P901" t="n">
        <v>0</v>
      </c>
      <c r="Q901" t="n">
        <v>0</v>
      </c>
      <c r="R901" s="2" t="inlineStr"/>
    </row>
    <row r="902" ht="15" customHeight="1">
      <c r="A902" t="inlineStr">
        <is>
          <t>A 6102-2026</t>
        </is>
      </c>
      <c r="B902" s="1" t="n">
        <v>46052.84638888889</v>
      </c>
      <c r="C902" s="1" t="n">
        <v>46100</v>
      </c>
      <c r="D902" t="inlineStr">
        <is>
          <t>BLEKINGE LÄN</t>
        </is>
      </c>
      <c r="E902" t="inlineStr">
        <is>
          <t>KARLSKRONA</t>
        </is>
      </c>
      <c r="G902" t="n">
        <v>6.2</v>
      </c>
      <c r="H902" t="n">
        <v>0</v>
      </c>
      <c r="I902" t="n">
        <v>0</v>
      </c>
      <c r="J902" t="n">
        <v>0</v>
      </c>
      <c r="K902" t="n">
        <v>0</v>
      </c>
      <c r="L902" t="n">
        <v>0</v>
      </c>
      <c r="M902" t="n">
        <v>0</v>
      </c>
      <c r="N902" t="n">
        <v>0</v>
      </c>
      <c r="O902" t="n">
        <v>0</v>
      </c>
      <c r="P902" t="n">
        <v>0</v>
      </c>
      <c r="Q902" t="n">
        <v>0</v>
      </c>
      <c r="R902" s="2" t="inlineStr"/>
    </row>
    <row r="903" ht="15" customHeight="1">
      <c r="A903" t="inlineStr">
        <is>
          <t>A 13644-2026</t>
        </is>
      </c>
      <c r="B903" s="1" t="n">
        <v>46097.41876157407</v>
      </c>
      <c r="C903" s="1" t="n">
        <v>46100</v>
      </c>
      <c r="D903" t="inlineStr">
        <is>
          <t>BLEKINGE LÄN</t>
        </is>
      </c>
      <c r="E903" t="inlineStr">
        <is>
          <t>KARLSKRONA</t>
        </is>
      </c>
      <c r="G903" t="n">
        <v>3.5</v>
      </c>
      <c r="H903" t="n">
        <v>0</v>
      </c>
      <c r="I903" t="n">
        <v>0</v>
      </c>
      <c r="J903" t="n">
        <v>0</v>
      </c>
      <c r="K903" t="n">
        <v>0</v>
      </c>
      <c r="L903" t="n">
        <v>0</v>
      </c>
      <c r="M903" t="n">
        <v>0</v>
      </c>
      <c r="N903" t="n">
        <v>0</v>
      </c>
      <c r="O903" t="n">
        <v>0</v>
      </c>
      <c r="P903" t="n">
        <v>0</v>
      </c>
      <c r="Q903" t="n">
        <v>0</v>
      </c>
      <c r="R903" s="2" t="inlineStr"/>
    </row>
    <row r="904" ht="15" customHeight="1">
      <c r="A904" t="inlineStr">
        <is>
          <t>A 6620-2026</t>
        </is>
      </c>
      <c r="B904" s="1" t="n">
        <v>46056</v>
      </c>
      <c r="C904" s="1" t="n">
        <v>46100</v>
      </c>
      <c r="D904" t="inlineStr">
        <is>
          <t>BLEKINGE LÄN</t>
        </is>
      </c>
      <c r="E904" t="inlineStr">
        <is>
          <t>KARLSKRONA</t>
        </is>
      </c>
      <c r="G904" t="n">
        <v>1.7</v>
      </c>
      <c r="H904" t="n">
        <v>0</v>
      </c>
      <c r="I904" t="n">
        <v>0</v>
      </c>
      <c r="J904" t="n">
        <v>0</v>
      </c>
      <c r="K904" t="n">
        <v>0</v>
      </c>
      <c r="L904" t="n">
        <v>0</v>
      </c>
      <c r="M904" t="n">
        <v>0</v>
      </c>
      <c r="N904" t="n">
        <v>0</v>
      </c>
      <c r="O904" t="n">
        <v>0</v>
      </c>
      <c r="P904" t="n">
        <v>0</v>
      </c>
      <c r="Q904" t="n">
        <v>0</v>
      </c>
      <c r="R904" s="2" t="inlineStr"/>
    </row>
    <row r="905" ht="15" customHeight="1">
      <c r="A905" t="inlineStr">
        <is>
          <t>A 9153-2026</t>
        </is>
      </c>
      <c r="B905" s="1" t="n">
        <v>46070</v>
      </c>
      <c r="C905" s="1" t="n">
        <v>46100</v>
      </c>
      <c r="D905" t="inlineStr">
        <is>
          <t>BLEKINGE LÄN</t>
        </is>
      </c>
      <c r="E905" t="inlineStr">
        <is>
          <t>KARLSKRONA</t>
        </is>
      </c>
      <c r="G905" t="n">
        <v>4.8</v>
      </c>
      <c r="H905" t="n">
        <v>0</v>
      </c>
      <c r="I905" t="n">
        <v>0</v>
      </c>
      <c r="J905" t="n">
        <v>0</v>
      </c>
      <c r="K905" t="n">
        <v>0</v>
      </c>
      <c r="L905" t="n">
        <v>0</v>
      </c>
      <c r="M905" t="n">
        <v>0</v>
      </c>
      <c r="N905" t="n">
        <v>0</v>
      </c>
      <c r="O905" t="n">
        <v>0</v>
      </c>
      <c r="P905" t="n">
        <v>0</v>
      </c>
      <c r="Q905" t="n">
        <v>0</v>
      </c>
      <c r="R905" s="2" t="inlineStr"/>
    </row>
    <row r="906" ht="15" customHeight="1">
      <c r="A906" t="inlineStr">
        <is>
          <t>A 13694-2026</t>
        </is>
      </c>
      <c r="B906" s="1" t="n">
        <v>46097</v>
      </c>
      <c r="C906" s="1" t="n">
        <v>46100</v>
      </c>
      <c r="D906" t="inlineStr">
        <is>
          <t>BLEKINGE LÄN</t>
        </is>
      </c>
      <c r="E906" t="inlineStr">
        <is>
          <t>KARLSKRONA</t>
        </is>
      </c>
      <c r="G906" t="n">
        <v>3</v>
      </c>
      <c r="H906" t="n">
        <v>0</v>
      </c>
      <c r="I906" t="n">
        <v>0</v>
      </c>
      <c r="J906" t="n">
        <v>0</v>
      </c>
      <c r="K906" t="n">
        <v>0</v>
      </c>
      <c r="L906" t="n">
        <v>0</v>
      </c>
      <c r="M906" t="n">
        <v>0</v>
      </c>
      <c r="N906" t="n">
        <v>0</v>
      </c>
      <c r="O906" t="n">
        <v>0</v>
      </c>
      <c r="P906" t="n">
        <v>0</v>
      </c>
      <c r="Q906" t="n">
        <v>0</v>
      </c>
      <c r="R906" s="2" t="inlineStr"/>
    </row>
    <row r="907" ht="15" customHeight="1">
      <c r="A907" t="inlineStr">
        <is>
          <t>A 8032-2026</t>
        </is>
      </c>
      <c r="B907" s="1" t="n">
        <v>46062</v>
      </c>
      <c r="C907" s="1" t="n">
        <v>46100</v>
      </c>
      <c r="D907" t="inlineStr">
        <is>
          <t>BLEKINGE LÄN</t>
        </is>
      </c>
      <c r="E907" t="inlineStr">
        <is>
          <t>KARLSKRONA</t>
        </is>
      </c>
      <c r="G907" t="n">
        <v>0.2</v>
      </c>
      <c r="H907" t="n">
        <v>0</v>
      </c>
      <c r="I907" t="n">
        <v>0</v>
      </c>
      <c r="J907" t="n">
        <v>0</v>
      </c>
      <c r="K907" t="n">
        <v>0</v>
      </c>
      <c r="L907" t="n">
        <v>0</v>
      </c>
      <c r="M907" t="n">
        <v>0</v>
      </c>
      <c r="N907" t="n">
        <v>0</v>
      </c>
      <c r="O907" t="n">
        <v>0</v>
      </c>
      <c r="P907" t="n">
        <v>0</v>
      </c>
      <c r="Q907" t="n">
        <v>0</v>
      </c>
      <c r="R907" s="2" t="inlineStr"/>
    </row>
    <row r="908" ht="15" customHeight="1">
      <c r="A908" t="inlineStr">
        <is>
          <t>A 6602-2026</t>
        </is>
      </c>
      <c r="B908" s="1" t="n">
        <v>46056.46877314815</v>
      </c>
      <c r="C908" s="1" t="n">
        <v>46100</v>
      </c>
      <c r="D908" t="inlineStr">
        <is>
          <t>BLEKINGE LÄN</t>
        </is>
      </c>
      <c r="E908" t="inlineStr">
        <is>
          <t>KARLSKRONA</t>
        </is>
      </c>
      <c r="G908" t="n">
        <v>3.1</v>
      </c>
      <c r="H908" t="n">
        <v>0</v>
      </c>
      <c r="I908" t="n">
        <v>0</v>
      </c>
      <c r="J908" t="n">
        <v>0</v>
      </c>
      <c r="K908" t="n">
        <v>0</v>
      </c>
      <c r="L908" t="n">
        <v>0</v>
      </c>
      <c r="M908" t="n">
        <v>0</v>
      </c>
      <c r="N908" t="n">
        <v>0</v>
      </c>
      <c r="O908" t="n">
        <v>0</v>
      </c>
      <c r="P908" t="n">
        <v>0</v>
      </c>
      <c r="Q908" t="n">
        <v>0</v>
      </c>
      <c r="R908" s="2" t="inlineStr"/>
    </row>
    <row r="909">
      <c r="A909" t="inlineStr">
        <is>
          <t>A 9378-2026</t>
        </is>
      </c>
      <c r="B909" s="1" t="n">
        <v>46070</v>
      </c>
      <c r="C909" s="1" t="n">
        <v>46100</v>
      </c>
      <c r="D909" t="inlineStr">
        <is>
          <t>BLEKINGE LÄN</t>
        </is>
      </c>
      <c r="E909" t="inlineStr">
        <is>
          <t>KARLSKRONA</t>
        </is>
      </c>
      <c r="G909" t="n">
        <v>3.9</v>
      </c>
      <c r="H909" t="n">
        <v>0</v>
      </c>
      <c r="I909" t="n">
        <v>0</v>
      </c>
      <c r="J909" t="n">
        <v>0</v>
      </c>
      <c r="K909" t="n">
        <v>0</v>
      </c>
      <c r="L909" t="n">
        <v>0</v>
      </c>
      <c r="M909" t="n">
        <v>0</v>
      </c>
      <c r="N909" t="n">
        <v>0</v>
      </c>
      <c r="O909" t="n">
        <v>0</v>
      </c>
      <c r="P909" t="n">
        <v>0</v>
      </c>
      <c r="Q909" t="n">
        <v>0</v>
      </c>
      <c r="R909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2026-03-19T11:35:57Z</dcterms:created>
  <dcterms:modified xmlns:dcterms="http://purl.org/dc/terms/" xmlns:xsi="http://www.w3.org/2001/XMLSchema-instance" xsi:type="dcterms:W3CDTF">2026-03-19T11:35:58Z</dcterms:modified>
</cp:coreProperties>
</file>